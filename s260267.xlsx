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teodorshopov/Downloads/"/>
    </mc:Choice>
  </mc:AlternateContent>
  <xr:revisionPtr revIDLastSave="0" documentId="8_{E69CD17C-5035-E54E-BE4E-D650ADE37625}" xr6:coauthVersionLast="47" xr6:coauthVersionMax="47" xr10:uidLastSave="{00000000-0000-0000-0000-000000000000}"/>
  <bookViews>
    <workbookView xWindow="0" yWindow="580" windowWidth="28800" windowHeight="16640" activeTab="1" xr2:uid="{E916383A-3D4A-7B4B-8DF4-DB3A781C71E6}"/>
  </bookViews>
  <sheets>
    <sheet name="Stocks and Calculations" sheetId="1" r:id="rId1"/>
    <sheet name="Tabl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3" i="1" l="1"/>
  <c r="O23" i="1"/>
  <c r="N23" i="1"/>
  <c r="M19" i="1"/>
  <c r="M20" i="1"/>
  <c r="M21" i="1"/>
  <c r="M22" i="1"/>
  <c r="M23" i="1"/>
  <c r="M24" i="1"/>
  <c r="M25" i="1"/>
  <c r="M26" i="1"/>
  <c r="M27" i="1"/>
  <c r="M28" i="1"/>
  <c r="L19" i="1"/>
  <c r="L20" i="1"/>
  <c r="L21" i="1"/>
  <c r="L22" i="1"/>
  <c r="L23" i="1"/>
  <c r="L24" i="1"/>
  <c r="L25" i="1"/>
  <c r="L26" i="1"/>
  <c r="L27" i="1"/>
  <c r="L28" i="1"/>
  <c r="K19" i="1"/>
  <c r="K20" i="1"/>
  <c r="K21" i="1"/>
  <c r="K22" i="1"/>
  <c r="K23" i="1"/>
  <c r="K24" i="1"/>
  <c r="K25" i="1"/>
  <c r="K26" i="1"/>
  <c r="K27" i="1"/>
  <c r="K28" i="1"/>
  <c r="J19" i="1"/>
  <c r="J20" i="1"/>
  <c r="J21" i="1"/>
  <c r="J22" i="1"/>
  <c r="J23" i="1"/>
  <c r="J24" i="1"/>
  <c r="J25" i="1"/>
  <c r="J26" i="1"/>
  <c r="J27" i="1"/>
  <c r="J28" i="1"/>
  <c r="I28" i="1"/>
  <c r="I19" i="1"/>
  <c r="I20" i="1"/>
  <c r="I21" i="1"/>
  <c r="I22" i="1"/>
  <c r="I23" i="1"/>
  <c r="I24" i="1"/>
  <c r="O24" i="1" s="1"/>
  <c r="I25" i="1"/>
  <c r="I26" i="1"/>
  <c r="I27" i="1"/>
  <c r="H19" i="1"/>
  <c r="O19" i="1" s="1"/>
  <c r="H20" i="1"/>
  <c r="H21" i="1"/>
  <c r="O21" i="1" s="1"/>
  <c r="H22" i="1"/>
  <c r="H23" i="1"/>
  <c r="H24" i="1"/>
  <c r="H25" i="1"/>
  <c r="H26" i="1"/>
  <c r="H27" i="1"/>
  <c r="H28" i="1"/>
  <c r="G19" i="1"/>
  <c r="G32" i="1" s="1"/>
  <c r="G20" i="1"/>
  <c r="G21" i="1"/>
  <c r="G22" i="1"/>
  <c r="G23" i="1"/>
  <c r="G24" i="1"/>
  <c r="G25" i="1"/>
  <c r="G26" i="1"/>
  <c r="G27" i="1"/>
  <c r="G28" i="1"/>
  <c r="F19" i="1"/>
  <c r="F20" i="1"/>
  <c r="F21" i="1"/>
  <c r="F22" i="1"/>
  <c r="F23" i="1"/>
  <c r="F24" i="1"/>
  <c r="F25" i="1"/>
  <c r="F26" i="1"/>
  <c r="F27" i="1"/>
  <c r="F28" i="1"/>
  <c r="E19" i="1"/>
  <c r="E20" i="1"/>
  <c r="E21" i="1"/>
  <c r="E22" i="1"/>
  <c r="E23" i="1"/>
  <c r="E24" i="1"/>
  <c r="E25" i="1"/>
  <c r="E26" i="1"/>
  <c r="E27" i="1"/>
  <c r="E28" i="1"/>
  <c r="D19" i="1"/>
  <c r="D20" i="1"/>
  <c r="D21" i="1"/>
  <c r="D22" i="1"/>
  <c r="D23" i="1"/>
  <c r="D24" i="1"/>
  <c r="D25" i="1"/>
  <c r="D26" i="1"/>
  <c r="D27" i="1"/>
  <c r="D28" i="1"/>
  <c r="C19" i="1"/>
  <c r="C20" i="1"/>
  <c r="C21" i="1"/>
  <c r="C22" i="1"/>
  <c r="C23" i="1"/>
  <c r="C24" i="1"/>
  <c r="C25" i="1"/>
  <c r="C26" i="1"/>
  <c r="C27" i="1"/>
  <c r="C28" i="1"/>
  <c r="C18" i="1"/>
  <c r="C30" i="1" s="1"/>
  <c r="D18" i="1"/>
  <c r="E18" i="1"/>
  <c r="F18" i="1"/>
  <c r="G18" i="1"/>
  <c r="H18" i="1"/>
  <c r="I18" i="1"/>
  <c r="J18" i="1"/>
  <c r="K18" i="1"/>
  <c r="L18" i="1"/>
  <c r="L30" i="1" s="1"/>
  <c r="M18" i="1"/>
  <c r="B28" i="1"/>
  <c r="B19" i="1"/>
  <c r="B20" i="1"/>
  <c r="B21" i="1"/>
  <c r="B22" i="1"/>
  <c r="B23" i="1"/>
  <c r="B24" i="1"/>
  <c r="P24" i="1" s="1"/>
  <c r="B25" i="1"/>
  <c r="P25" i="1" s="1"/>
  <c r="B26" i="1"/>
  <c r="B27" i="1"/>
  <c r="P27" i="1" s="1"/>
  <c r="B18" i="1"/>
  <c r="M30" i="1" l="1"/>
  <c r="J33" i="1"/>
  <c r="K33" i="1"/>
  <c r="L31" i="1"/>
  <c r="O28" i="1"/>
  <c r="I30" i="1"/>
  <c r="P26" i="1"/>
  <c r="K30" i="1"/>
  <c r="O27" i="1"/>
  <c r="J30" i="1"/>
  <c r="O26" i="1"/>
  <c r="O25" i="1"/>
  <c r="G33" i="1"/>
  <c r="N20" i="1"/>
  <c r="F33" i="1"/>
  <c r="N22" i="1"/>
  <c r="D33" i="1"/>
  <c r="O22" i="1"/>
  <c r="K31" i="1"/>
  <c r="L32" i="1"/>
  <c r="M32" i="1"/>
  <c r="M33" i="1"/>
  <c r="N19" i="1"/>
  <c r="E31" i="1"/>
  <c r="C33" i="1"/>
  <c r="G30" i="1"/>
  <c r="K32" i="1"/>
  <c r="B33" i="1"/>
  <c r="P28" i="1"/>
  <c r="D32" i="1"/>
  <c r="O20" i="1"/>
  <c r="I32" i="1"/>
  <c r="J32" i="1"/>
  <c r="L33" i="1"/>
  <c r="P22" i="1"/>
  <c r="J31" i="1"/>
  <c r="I31" i="1"/>
  <c r="O18" i="1"/>
  <c r="P20" i="1"/>
  <c r="D30" i="1"/>
  <c r="H32" i="1"/>
  <c r="P18" i="1"/>
  <c r="P19" i="1"/>
  <c r="I33" i="1"/>
  <c r="M31" i="1"/>
  <c r="C31" i="1"/>
  <c r="C32" i="1"/>
  <c r="E33" i="1"/>
  <c r="N24" i="1"/>
  <c r="P21" i="1"/>
  <c r="H30" i="1"/>
  <c r="F30" i="1"/>
  <c r="N21" i="1"/>
  <c r="H31" i="1"/>
  <c r="G31" i="1"/>
  <c r="N28" i="1"/>
  <c r="B31" i="1"/>
  <c r="F31" i="1"/>
  <c r="F32" i="1"/>
  <c r="H33" i="1"/>
  <c r="N27" i="1"/>
  <c r="E32" i="1"/>
  <c r="N18" i="1"/>
  <c r="E30" i="1"/>
  <c r="B30" i="1"/>
  <c r="B32" i="1"/>
  <c r="N26" i="1"/>
  <c r="D31" i="1"/>
  <c r="N25" i="1"/>
  <c r="N30" i="1" l="1"/>
  <c r="N33" i="1"/>
  <c r="N32" i="1"/>
  <c r="N31" i="1"/>
  <c r="P31" i="1"/>
  <c r="P30" i="1"/>
  <c r="P33" i="1"/>
  <c r="P32" i="1"/>
  <c r="O30" i="1"/>
  <c r="O33" i="1"/>
  <c r="O32" i="1"/>
  <c r="O31" i="1"/>
</calcChain>
</file>

<file path=xl/sharedStrings.xml><?xml version="1.0" encoding="utf-8"?>
<sst xmlns="http://schemas.openxmlformats.org/spreadsheetml/2006/main" count="69" uniqueCount="29">
  <si>
    <t>Date</t>
  </si>
  <si>
    <t>AAPL</t>
  </si>
  <si>
    <t>NVDA</t>
  </si>
  <si>
    <t>GOOG</t>
  </si>
  <si>
    <t>MSFT</t>
  </si>
  <si>
    <t>META</t>
  </si>
  <si>
    <t>ORCL</t>
  </si>
  <si>
    <t>LMT</t>
  </si>
  <si>
    <t>RTX</t>
  </si>
  <si>
    <t>NOC</t>
  </si>
  <si>
    <t>GD</t>
  </si>
  <si>
    <t>LHX</t>
  </si>
  <si>
    <t>TXT</t>
  </si>
  <si>
    <t xml:space="preserve">Monthly returns </t>
  </si>
  <si>
    <t>-</t>
  </si>
  <si>
    <t>Mean Monthly Return</t>
  </si>
  <si>
    <t xml:space="preserve">Monthly Standard Deviation </t>
  </si>
  <si>
    <t>Technology Portfolio</t>
  </si>
  <si>
    <t>Defense Portfolio</t>
  </si>
  <si>
    <t>Overall Portfolio</t>
  </si>
  <si>
    <t>Annualized Standard Deviation</t>
  </si>
  <si>
    <t>Portfolio Type</t>
  </si>
  <si>
    <t xml:space="preserve">Technology </t>
  </si>
  <si>
    <t xml:space="preserve">Defense </t>
  </si>
  <si>
    <t xml:space="preserve">Overall </t>
  </si>
  <si>
    <t>Annualized Mean Return</t>
  </si>
  <si>
    <t>Technology</t>
  </si>
  <si>
    <t>Defense</t>
  </si>
  <si>
    <t>Stock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</si>
</sst>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$&quot;#,##0.00_);[Red]\(&quot;$&quot;#,##0.00\)"/>
    <numFmt numFmtId="164" formatCode="0.000%"/>
    <numFmt numFmtId="165" formatCode="0.0000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rgb="FF000000"/>
      <name val="Helvetica"/>
      <family val="2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D7A6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E49EDD"/>
        <bgColor rgb="FF000000"/>
      </patternFill>
    </fill>
    <fill>
      <patternFill patternType="solid">
        <fgColor rgb="FF94DCF8"/>
        <bgColor rgb="FF000000"/>
      </patternFill>
    </fill>
    <fill>
      <patternFill patternType="solid">
        <fgColor rgb="FF83CCEB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theme="9" tint="0.59999389629810485"/>
        <bgColor indexed="64"/>
      </patternFill>
    </fill>
  </fills>
  <borders count="31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8">
    <xf numFmtId="0" fontId="0" fillId="0" borderId="0" xfId="0"/>
    <xf numFmtId="14" fontId="0" fillId="2" borderId="1" xfId="0" applyNumberFormat="1" applyFill="1" applyBorder="1"/>
    <xf numFmtId="8" fontId="0" fillId="2" borderId="0" xfId="0" applyNumberFormat="1" applyFill="1"/>
    <xf numFmtId="8" fontId="0" fillId="2" borderId="2" xfId="0" applyNumberFormat="1" applyFill="1" applyBorder="1"/>
    <xf numFmtId="14" fontId="0" fillId="2" borderId="3" xfId="0" applyNumberFormat="1" applyFill="1" applyBorder="1"/>
    <xf numFmtId="8" fontId="0" fillId="2" borderId="4" xfId="0" applyNumberFormat="1" applyFill="1" applyBorder="1"/>
    <xf numFmtId="8" fontId="0" fillId="2" borderId="5" xfId="0" applyNumberForma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17" fontId="0" fillId="0" borderId="0" xfId="0" applyNumberFormat="1"/>
    <xf numFmtId="9" fontId="0" fillId="0" borderId="0" xfId="1" applyFont="1"/>
    <xf numFmtId="10" fontId="0" fillId="3" borderId="0" xfId="1" applyNumberFormat="1" applyFont="1" applyFill="1" applyBorder="1"/>
    <xf numFmtId="10" fontId="0" fillId="4" borderId="11" xfId="1" applyNumberFormat="1" applyFont="1" applyFill="1" applyBorder="1"/>
    <xf numFmtId="10" fontId="0" fillId="4" borderId="12" xfId="1" applyNumberFormat="1" applyFont="1" applyFill="1" applyBorder="1"/>
    <xf numFmtId="0" fontId="0" fillId="4" borderId="10" xfId="0" applyFill="1" applyBorder="1"/>
    <xf numFmtId="0" fontId="0" fillId="5" borderId="10" xfId="0" applyFill="1" applyBorder="1"/>
    <xf numFmtId="0" fontId="0" fillId="6" borderId="10" xfId="0" applyFill="1" applyBorder="1"/>
    <xf numFmtId="0" fontId="0" fillId="7" borderId="10" xfId="0" applyFill="1" applyBorder="1"/>
    <xf numFmtId="165" fontId="0" fillId="5" borderId="11" xfId="0" applyNumberFormat="1" applyFill="1" applyBorder="1"/>
    <xf numFmtId="165" fontId="0" fillId="5" borderId="12" xfId="0" applyNumberFormat="1" applyFill="1" applyBorder="1"/>
    <xf numFmtId="165" fontId="0" fillId="6" borderId="11" xfId="0" applyNumberFormat="1" applyFill="1" applyBorder="1"/>
    <xf numFmtId="165" fontId="0" fillId="6" borderId="12" xfId="0" applyNumberFormat="1" applyFill="1" applyBorder="1"/>
    <xf numFmtId="165" fontId="0" fillId="7" borderId="11" xfId="0" applyNumberFormat="1" applyFill="1" applyBorder="1"/>
    <xf numFmtId="165" fontId="0" fillId="7" borderId="12" xfId="0" applyNumberFormat="1" applyFill="1" applyBorder="1"/>
    <xf numFmtId="0" fontId="0" fillId="8" borderId="7" xfId="0" applyFill="1" applyBorder="1"/>
    <xf numFmtId="0" fontId="2" fillId="8" borderId="7" xfId="0" applyFont="1" applyFill="1" applyBorder="1"/>
    <xf numFmtId="0" fontId="0" fillId="8" borderId="9" xfId="0" applyFill="1" applyBorder="1"/>
    <xf numFmtId="0" fontId="2" fillId="8" borderId="9" xfId="0" applyFont="1" applyFill="1" applyBorder="1"/>
    <xf numFmtId="0" fontId="0" fillId="9" borderId="0" xfId="0" applyFill="1"/>
    <xf numFmtId="8" fontId="0" fillId="2" borderId="13" xfId="0" applyNumberFormat="1" applyFill="1" applyBorder="1"/>
    <xf numFmtId="8" fontId="0" fillId="2" borderId="14" xfId="0" applyNumberFormat="1" applyFill="1" applyBorder="1"/>
    <xf numFmtId="10" fontId="0" fillId="3" borderId="13" xfId="1" applyNumberFormat="1" applyFont="1" applyFill="1" applyBorder="1"/>
    <xf numFmtId="0" fontId="0" fillId="3" borderId="15" xfId="0" applyFill="1" applyBorder="1"/>
    <xf numFmtId="0" fontId="0" fillId="8" borderId="0" xfId="0" applyFill="1"/>
    <xf numFmtId="17" fontId="0" fillId="3" borderId="1" xfId="0" applyNumberFormat="1" applyFill="1" applyBorder="1"/>
    <xf numFmtId="0" fontId="0" fillId="3" borderId="0" xfId="0" applyFill="1"/>
    <xf numFmtId="0" fontId="0" fillId="3" borderId="2" xfId="0" applyFill="1" applyBorder="1"/>
    <xf numFmtId="10" fontId="0" fillId="3" borderId="2" xfId="1" applyNumberFormat="1" applyFont="1" applyFill="1" applyBorder="1"/>
    <xf numFmtId="17" fontId="0" fillId="3" borderId="3" xfId="0" applyNumberFormat="1" applyFill="1" applyBorder="1"/>
    <xf numFmtId="10" fontId="0" fillId="3" borderId="4" xfId="1" applyNumberFormat="1" applyFont="1" applyFill="1" applyBorder="1"/>
    <xf numFmtId="10" fontId="0" fillId="3" borderId="14" xfId="1" applyNumberFormat="1" applyFont="1" applyFill="1" applyBorder="1"/>
    <xf numFmtId="10" fontId="0" fillId="3" borderId="5" xfId="1" applyNumberFormat="1" applyFont="1" applyFill="1" applyBorder="1"/>
    <xf numFmtId="0" fontId="0" fillId="0" borderId="16" xfId="0" applyBorder="1"/>
    <xf numFmtId="164" fontId="0" fillId="10" borderId="0" xfId="0" applyNumberFormat="1" applyFill="1"/>
    <xf numFmtId="0" fontId="4" fillId="12" borderId="19" xfId="0" applyFont="1" applyFill="1" applyBorder="1"/>
    <xf numFmtId="0" fontId="4" fillId="14" borderId="19" xfId="0" applyFont="1" applyFill="1" applyBorder="1"/>
    <xf numFmtId="0" fontId="4" fillId="5" borderId="10" xfId="0" applyFont="1" applyFill="1" applyBorder="1"/>
    <xf numFmtId="0" fontId="4" fillId="11" borderId="22" xfId="0" applyFont="1" applyFill="1" applyBorder="1"/>
    <xf numFmtId="0" fontId="4" fillId="11" borderId="18" xfId="0" applyFont="1" applyFill="1" applyBorder="1"/>
    <xf numFmtId="165" fontId="4" fillId="13" borderId="17" xfId="0" applyNumberFormat="1" applyFont="1" applyFill="1" applyBorder="1"/>
    <xf numFmtId="165" fontId="4" fillId="13" borderId="21" xfId="0" applyNumberFormat="1" applyFont="1" applyFill="1" applyBorder="1"/>
    <xf numFmtId="165" fontId="4" fillId="13" borderId="18" xfId="0" applyNumberFormat="1" applyFont="1" applyFill="1" applyBorder="1"/>
    <xf numFmtId="165" fontId="4" fillId="14" borderId="19" xfId="0" applyNumberFormat="1" applyFont="1" applyFill="1" applyBorder="1"/>
    <xf numFmtId="165" fontId="4" fillId="14" borderId="4" xfId="0" applyNumberFormat="1" applyFont="1" applyFill="1" applyBorder="1"/>
    <xf numFmtId="165" fontId="4" fillId="14" borderId="5" xfId="0" applyNumberFormat="1" applyFont="1" applyFill="1" applyBorder="1"/>
    <xf numFmtId="165" fontId="0" fillId="4" borderId="11" xfId="1" applyNumberFormat="1" applyFont="1" applyFill="1" applyBorder="1"/>
    <xf numFmtId="165" fontId="0" fillId="4" borderId="12" xfId="1" applyNumberFormat="1" applyFont="1" applyFill="1" applyBorder="1"/>
    <xf numFmtId="0" fontId="0" fillId="5" borderId="0" xfId="0" applyFill="1"/>
    <xf numFmtId="0" fontId="0" fillId="15" borderId="7" xfId="0" applyFill="1" applyBorder="1"/>
    <xf numFmtId="0" fontId="0" fillId="15" borderId="20" xfId="0" applyFill="1" applyBorder="1"/>
    <xf numFmtId="0" fontId="0" fillId="15" borderId="8" xfId="0" applyFill="1" applyBorder="1"/>
    <xf numFmtId="0" fontId="0" fillId="5" borderId="24" xfId="0" applyFill="1" applyBorder="1" applyAlignment="1">
      <alignment horizontal="center"/>
    </xf>
    <xf numFmtId="0" fontId="0" fillId="5" borderId="25" xfId="0" applyFill="1" applyBorder="1" applyAlignment="1">
      <alignment horizontal="center"/>
    </xf>
    <xf numFmtId="0" fontId="0" fillId="5" borderId="26" xfId="0" applyFill="1" applyBorder="1" applyAlignment="1">
      <alignment horizontal="center"/>
    </xf>
    <xf numFmtId="0" fontId="0" fillId="5" borderId="11" xfId="0" applyFill="1" applyBorder="1" applyAlignment="1">
      <alignment horizontal="center"/>
    </xf>
    <xf numFmtId="0" fontId="0" fillId="5" borderId="12" xfId="0" applyFill="1" applyBorder="1" applyAlignment="1">
      <alignment horizontal="center"/>
    </xf>
    <xf numFmtId="0" fontId="0" fillId="15" borderId="17" xfId="0" applyFill="1" applyBorder="1"/>
    <xf numFmtId="0" fontId="0" fillId="4" borderId="27" xfId="0" applyFill="1" applyBorder="1"/>
    <xf numFmtId="0" fontId="0" fillId="7" borderId="27" xfId="0" applyFill="1" applyBorder="1"/>
    <xf numFmtId="165" fontId="0" fillId="4" borderId="27" xfId="1" applyNumberFormat="1" applyFont="1" applyFill="1" applyBorder="1"/>
    <xf numFmtId="165" fontId="0" fillId="7" borderId="27" xfId="0" applyNumberFormat="1" applyFill="1" applyBorder="1"/>
    <xf numFmtId="0" fontId="0" fillId="15" borderId="29" xfId="0" applyFill="1" applyBorder="1"/>
    <xf numFmtId="0" fontId="0" fillId="15" borderId="23" xfId="0" applyFill="1" applyBorder="1"/>
    <xf numFmtId="0" fontId="2" fillId="15" borderId="23" xfId="0" applyFont="1" applyFill="1" applyBorder="1"/>
    <xf numFmtId="0" fontId="2" fillId="15" borderId="30" xfId="0" applyFont="1" applyFill="1" applyBorder="1"/>
    <xf numFmtId="0" fontId="0" fillId="15" borderId="28" xfId="0" applyFill="1" applyBorder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colors>
    <mruColors>
      <color rgb="FFFF4E43"/>
      <color rgb="FFFD7A69"/>
      <color rgb="FFFF584F"/>
      <color rgb="FFFF524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Risk-Return Plot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053243158032234"/>
          <c:y val="0.14247608553866831"/>
          <c:w val="0.87423277078721895"/>
          <c:h val="0.6689475166511849"/>
        </c:manualLayout>
      </c:layout>
      <c:scatterChart>
        <c:scatterStyle val="lineMarker"/>
        <c:varyColors val="0"/>
        <c:ser>
          <c:idx val="0"/>
          <c:order val="0"/>
          <c:tx>
            <c:v>Stock</c:v>
          </c:tx>
          <c:spPr>
            <a:ln w="25400" cap="rnd">
              <a:noFill/>
              <a:round/>
            </a:ln>
            <a:effectLst/>
          </c:spPr>
          <c:marker>
            <c:symbol val="diamond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round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FA3B133F-4DE4-3B41-9A4A-CBD443F7172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B10DC0D9-4E5D-8845-BEF9-83761B8EA653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872-CF42-B9D6-1978218C77E4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2163CB25-7563-9044-9240-2E933F6A005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5A6E88AD-E0E1-FD48-A9E4-91C1C8C93083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872-CF42-B9D6-1978218C77E4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BD62FCA5-D7CA-884A-B011-E032B1BAAFBD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358A3EAB-7ED2-2A4E-B4BF-9C2231647D09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872-CF42-B9D6-1978218C77E4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FAD46B60-5F8D-EF4F-B347-E97A004725BC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84A0428-EC5C-1044-BC2B-AA157BEED3AB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b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3-2872-CF42-B9D6-1978218C77E4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A34C734-C05C-6649-8B56-A7EAA83B3433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ECE6F4F0-F978-2B47-BBA5-E06EA25E91F6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872-CF42-B9D6-1978218C77E4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5D0D2F4-3A60-9147-817A-6347F80FAE0E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44154A92-1C30-7F40-9EAE-F9189797D5CB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872-CF42-B9D6-1978218C77E4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A28F8216-CD2E-D74F-8616-E4ED1902443E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BB7257FE-185B-BD4A-ABBF-174982888729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872-CF42-B9D6-1978218C77E4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047B49E6-1B57-6544-89F7-DB693CEEA6F8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16B8DAC9-C908-DC40-9DCC-D7A0F0E1ECF2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872-CF42-B9D6-1978218C77E4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26827382-896F-C04B-8A26-5B6017CE5021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D9D400B7-7DE3-FC48-92E1-67C61432287E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872-CF42-B9D6-1978218C77E4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5F6EE10F-A18F-144D-AE33-E134CFFCC921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AD3CBD1A-3C0B-F34F-9DE8-5FB0DF095D0C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l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9-2872-CF42-B9D6-1978218C77E4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99085BC0-D7DA-3842-87B8-AC0D9BB68539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A48EB57A-36C6-9947-BD27-9FFE304E5916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872-CF42-B9D6-1978218C77E4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12117083-061F-4B4D-B50E-8120628B75CA}" type="CELLRANGE">
                      <a:rPr lang="en-US"/>
                      <a:pPr/>
                      <a:t>[CELLRANGE]</a:t>
                    </a:fld>
                    <a:r>
                      <a:rPr lang="en-US" baseline="0"/>
                      <a:t>, </a:t>
                    </a:r>
                    <a:fld id="{2DE53D7E-4D40-1849-85D7-445B5CF06E65}" type="YVALUE">
                      <a:rPr lang="en-US" baseline="0"/>
                      <a:pPr/>
                      <a:t>[Y VALUE]</a:t>
                    </a:fld>
                    <a:endParaRPr lang="en-US" baseline="0"/>
                  </a:p>
                </c:rich>
              </c:tx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872-CF42-B9D6-1978218C77E4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'Stocks and Calculations'!$B$33:$M$33</c:f>
              <c:numCache>
                <c:formatCode>0.0000</c:formatCode>
                <c:ptCount val="12"/>
                <c:pt idx="0">
                  <c:v>0.23643252628679953</c:v>
                </c:pt>
                <c:pt idx="1">
                  <c:v>0.34485598459107097</c:v>
                </c:pt>
                <c:pt idx="2">
                  <c:v>0.23082980238557047</c:v>
                </c:pt>
                <c:pt idx="3">
                  <c:v>0.2329957553720596</c:v>
                </c:pt>
                <c:pt idx="4">
                  <c:v>0.28630263483806923</c:v>
                </c:pt>
                <c:pt idx="5">
                  <c:v>0.62718519675115392</c:v>
                </c:pt>
                <c:pt idx="6">
                  <c:v>0.38201592347194135</c:v>
                </c:pt>
                <c:pt idx="7">
                  <c:v>0.18759943013681502</c:v>
                </c:pt>
                <c:pt idx="8">
                  <c:v>0.27654311758276562</c:v>
                </c:pt>
                <c:pt idx="9">
                  <c:v>0.11689049766017055</c:v>
                </c:pt>
                <c:pt idx="10">
                  <c:v>0.223783492689408</c:v>
                </c:pt>
                <c:pt idx="11">
                  <c:v>0.18022706506797029</c:v>
                </c:pt>
              </c:numCache>
            </c:numRef>
          </c:xVal>
          <c:yVal>
            <c:numRef>
              <c:f>'Stocks and Calculations'!$B$32:$M$32</c:f>
              <c:numCache>
                <c:formatCode>0.0000</c:formatCode>
                <c:ptCount val="12"/>
                <c:pt idx="0">
                  <c:v>0.16286047136104612</c:v>
                </c:pt>
                <c:pt idx="1">
                  <c:v>0.5950503347854168</c:v>
                </c:pt>
                <c:pt idx="2">
                  <c:v>0.82936575384213973</c:v>
                </c:pt>
                <c:pt idx="3">
                  <c:v>0.11871556397207153</c:v>
                </c:pt>
                <c:pt idx="4">
                  <c:v>0.11918633298149439</c:v>
                </c:pt>
                <c:pt idx="5">
                  <c:v>0.15775180263680633</c:v>
                </c:pt>
                <c:pt idx="6">
                  <c:v>0.43992131252322764</c:v>
                </c:pt>
                <c:pt idx="7">
                  <c:v>0.4681853243520383</c:v>
                </c:pt>
                <c:pt idx="8">
                  <c:v>0.44276224857385504</c:v>
                </c:pt>
                <c:pt idx="9">
                  <c:v>0.34906825701274502</c:v>
                </c:pt>
                <c:pt idx="10">
                  <c:v>0.5727609605604379</c:v>
                </c:pt>
                <c:pt idx="11">
                  <c:v>0.19920783059418218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'Stocks and Calculations'!$B$16:$M$16</c15:f>
                <c15:dlblRangeCache>
                  <c:ptCount val="12"/>
                  <c:pt idx="0">
                    <c:v>AAPL</c:v>
                  </c:pt>
                  <c:pt idx="1">
                    <c:v>NVDA</c:v>
                  </c:pt>
                  <c:pt idx="2">
                    <c:v>GOOG</c:v>
                  </c:pt>
                  <c:pt idx="3">
                    <c:v>MSFT</c:v>
                  </c:pt>
                  <c:pt idx="4">
                    <c:v>META</c:v>
                  </c:pt>
                  <c:pt idx="5">
                    <c:v>ORCL</c:v>
                  </c:pt>
                  <c:pt idx="6">
                    <c:v>LMT</c:v>
                  </c:pt>
                  <c:pt idx="7">
                    <c:v>RTX</c:v>
                  </c:pt>
                  <c:pt idx="8">
                    <c:v>NOC</c:v>
                  </c:pt>
                  <c:pt idx="9">
                    <c:v>GD</c:v>
                  </c:pt>
                  <c:pt idx="10">
                    <c:v>LHX</c:v>
                  </c:pt>
                  <c:pt idx="11">
                    <c:v>TXT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C-2872-CF42-B9D6-1978218C77E4}"/>
            </c:ext>
          </c:extLst>
        </c:ser>
        <c:ser>
          <c:idx val="1"/>
          <c:order val="1"/>
          <c:tx>
            <c:strRef>
              <c:f>'Stocks and Calculations'!$N$16</c:f>
              <c:strCache>
                <c:ptCount val="1"/>
                <c:pt idx="0">
                  <c:v>Technology Portfolio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round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800" b="0" i="0" u="none" strike="noStrike" kern="1200" baseline="0">
                        <a:solidFill>
                          <a:schemeClr val="tx1">
                            <a:lumMod val="50000"/>
                            <a:lumOff val="50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2AEAA4A-2A7F-224D-8880-3DA3FB93F01C}" type="CELLRANGE">
                      <a:rPr lang="en-US"/>
                      <a:pPr>
                        <a:defRPr/>
                      </a:pPr>
                      <a:t>[CELLRANGE]</a:t>
                    </a:fld>
                    <a:r>
                      <a:rPr lang="en-US" baseline="0"/>
                      <a:t>, </a:t>
                    </a:r>
                    <a:fld id="{9F90A23E-1F0B-C942-B6D4-A79D00799783}" type="YVALUE">
                      <a:rPr lang="en-US" baseline="0"/>
                      <a:pPr>
                        <a:defRPr/>
                      </a:pPr>
                      <a:t>[Y VALUE]</a:t>
                    </a:fld>
                    <a:endParaRPr lang="en-US" baseline="0"/>
                  </a:p>
                </c:rich>
              </c:tx>
              <c:numFmt formatCode="#,##0.0000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800" b="0" i="0" u="none" strike="noStrike" kern="1200" baseline="0">
                      <a:solidFill>
                        <a:schemeClr val="tx1">
                          <a:lumMod val="50000"/>
                          <a:lumOff val="50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872-CF42-B9D6-1978218C77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'Stocks and Calculations'!$N$33</c:f>
              <c:numCache>
                <c:formatCode>0.0000</c:formatCode>
                <c:ptCount val="1"/>
                <c:pt idx="0">
                  <c:v>0.21255476626700162</c:v>
                </c:pt>
              </c:numCache>
            </c:numRef>
          </c:xVal>
          <c:yVal>
            <c:numRef>
              <c:f>'Stocks and Calculations'!$N$32</c:f>
              <c:numCache>
                <c:formatCode>0.0000</c:formatCode>
                <c:ptCount val="1"/>
                <c:pt idx="0">
                  <c:v>0.33048837659649583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'Stocks and Calculations'!$N$16</c15:f>
                <c15:dlblRangeCache>
                  <c:ptCount val="1"/>
                  <c:pt idx="0">
                    <c:v>Technology Portfolio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E-2872-CF42-B9D6-1978218C77E4}"/>
            </c:ext>
          </c:extLst>
        </c:ser>
        <c:ser>
          <c:idx val="2"/>
          <c:order val="2"/>
          <c:tx>
            <c:strRef>
              <c:f>'Stocks and Calculations'!$O$16</c:f>
              <c:strCache>
                <c:ptCount val="1"/>
                <c:pt idx="0">
                  <c:v>Defense Portfolio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triangle"/>
            <c:size val="6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round/>
              </a:ln>
              <a:effectLst/>
            </c:spPr>
          </c:marker>
          <c:dLbls>
            <c:dLbl>
              <c:idx val="0"/>
              <c:dLblPos val="r"/>
              <c:showLegendKey val="0"/>
              <c:showVal val="1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F-2872-CF42-B9D6-1978218C77E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'Stocks and Calculations'!$O$33</c:f>
              <c:numCache>
                <c:formatCode>0.0000</c:formatCode>
                <c:ptCount val="1"/>
                <c:pt idx="0">
                  <c:v>0.15624301237413779</c:v>
                </c:pt>
              </c:numCache>
            </c:numRef>
          </c:xVal>
          <c:yVal>
            <c:numRef>
              <c:f>'Stocks and Calculations'!$O$32</c:f>
              <c:numCache>
                <c:formatCode>0.0000</c:formatCode>
                <c:ptCount val="1"/>
                <c:pt idx="0">
                  <c:v>0.41198432226941428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2872-CF42-B9D6-1978218C77E4}"/>
            </c:ext>
          </c:extLst>
        </c:ser>
        <c:ser>
          <c:idx val="3"/>
          <c:order val="3"/>
          <c:tx>
            <c:strRef>
              <c:f>'Stocks and Calculations'!$P$16</c:f>
              <c:strCache>
                <c:ptCount val="1"/>
                <c:pt idx="0">
                  <c:v>Overall Portfolio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x"/>
            <c:size val="6"/>
            <c:spPr>
              <a:noFill/>
              <a:ln w="9525">
                <a:solidFill>
                  <a:schemeClr val="accent4"/>
                </a:solidFill>
                <a:round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1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xVal>
            <c:numRef>
              <c:f>'Stocks and Calculations'!$P$33</c:f>
              <c:numCache>
                <c:formatCode>0.0000</c:formatCode>
                <c:ptCount val="1"/>
                <c:pt idx="0">
                  <c:v>0.14591348772977128</c:v>
                </c:pt>
              </c:numCache>
            </c:numRef>
          </c:xVal>
          <c:yVal>
            <c:numRef>
              <c:f>'Stocks and Calculations'!$P$32</c:f>
              <c:numCache>
                <c:formatCode>0.0000</c:formatCode>
                <c:ptCount val="1"/>
                <c:pt idx="0">
                  <c:v>0.37123634943295519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2872-CF42-B9D6-1978218C77E4}"/>
            </c:ext>
          </c:extLst>
        </c:ser>
        <c:dLbls>
          <c:dLblPos val="r"/>
          <c:showLegendKey val="0"/>
          <c:showVal val="1"/>
          <c:showCatName val="0"/>
          <c:showSerName val="0"/>
          <c:showPercent val="0"/>
          <c:showBubbleSize val="0"/>
        </c:dLbls>
        <c:axId val="1275258047"/>
        <c:axId val="1275261183"/>
      </c:scatterChart>
      <c:valAx>
        <c:axId val="1275258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Annualized Standard Deviation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261183"/>
        <c:crosses val="autoZero"/>
        <c:crossBetween val="midCat"/>
      </c:valAx>
      <c:valAx>
        <c:axId val="1275261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Annualized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cap="all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25804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419100</xdr:colOff>
      <xdr:row>6</xdr:row>
      <xdr:rowOff>26571</xdr:rowOff>
    </xdr:from>
    <xdr:to>
      <xdr:col>13</xdr:col>
      <xdr:colOff>834306</xdr:colOff>
      <xdr:row>27</xdr:row>
      <xdr:rowOff>157590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7598F8-4E28-A941-82B2-9047D6B1C5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0B128-F4CF-4B45-9356-7FFD382471C1}">
  <dimension ref="A1:P33"/>
  <sheetViews>
    <sheetView workbookViewId="0">
      <selection activeCell="F32" sqref="F32"/>
    </sheetView>
  </sheetViews>
  <sheetFormatPr baseColWidth="10" defaultRowHeight="16" x14ac:dyDescent="0.2"/>
  <cols>
    <col min="1" max="1" width="26.1640625" bestFit="1" customWidth="1"/>
    <col min="14" max="14" width="17.5" bestFit="1" customWidth="1"/>
    <col min="15" max="15" width="15.1640625" bestFit="1" customWidth="1"/>
    <col min="16" max="16" width="14.1640625" bestFit="1" customWidth="1"/>
  </cols>
  <sheetData>
    <row r="1" spans="1:16" x14ac:dyDescent="0.2">
      <c r="A1" s="7" t="s">
        <v>0</v>
      </c>
      <c r="B1" s="26" t="s">
        <v>1</v>
      </c>
      <c r="C1" s="26" t="s">
        <v>2</v>
      </c>
      <c r="D1" s="26" t="s">
        <v>3</v>
      </c>
      <c r="E1" s="26" t="s">
        <v>4</v>
      </c>
      <c r="F1" s="27" t="s">
        <v>5</v>
      </c>
      <c r="G1" s="29" t="s">
        <v>6</v>
      </c>
      <c r="H1" s="8" t="s">
        <v>7</v>
      </c>
      <c r="I1" s="8" t="s">
        <v>8</v>
      </c>
      <c r="J1" s="8" t="s">
        <v>9</v>
      </c>
      <c r="K1" s="8" t="s">
        <v>10</v>
      </c>
      <c r="L1" s="8" t="s">
        <v>11</v>
      </c>
      <c r="M1" s="9" t="s">
        <v>12</v>
      </c>
    </row>
    <row r="2" spans="1:16" x14ac:dyDescent="0.2">
      <c r="A2" s="1">
        <v>45719</v>
      </c>
      <c r="B2" s="2">
        <v>238.03</v>
      </c>
      <c r="C2" s="2">
        <v>114.06</v>
      </c>
      <c r="D2" s="2">
        <v>168.66</v>
      </c>
      <c r="E2" s="2">
        <v>388.49</v>
      </c>
      <c r="F2" s="2">
        <v>655.04999999999995</v>
      </c>
      <c r="G2" s="31">
        <v>162.02000000000001</v>
      </c>
      <c r="H2" s="2">
        <v>451.94</v>
      </c>
      <c r="I2" s="2">
        <v>133.83000000000001</v>
      </c>
      <c r="J2" s="2">
        <v>473.41</v>
      </c>
      <c r="K2" s="2">
        <v>254.04</v>
      </c>
      <c r="L2" s="2">
        <v>207.7</v>
      </c>
      <c r="M2" s="3">
        <v>74.02</v>
      </c>
    </row>
    <row r="3" spans="1:16" x14ac:dyDescent="0.2">
      <c r="A3" s="1">
        <v>45748</v>
      </c>
      <c r="B3" s="2">
        <v>223.19</v>
      </c>
      <c r="C3" s="2">
        <v>110.15</v>
      </c>
      <c r="D3" s="2">
        <v>158.88</v>
      </c>
      <c r="E3" s="2">
        <v>382.19</v>
      </c>
      <c r="F3" s="2">
        <v>586</v>
      </c>
      <c r="G3" s="31">
        <v>141.94</v>
      </c>
      <c r="H3" s="2">
        <v>448.64</v>
      </c>
      <c r="I3" s="2">
        <v>132.85</v>
      </c>
      <c r="J3" s="2">
        <v>513.1</v>
      </c>
      <c r="K3" s="2">
        <v>274.14</v>
      </c>
      <c r="L3" s="2">
        <v>209.75</v>
      </c>
      <c r="M3" s="3">
        <v>72.16</v>
      </c>
    </row>
    <row r="4" spans="1:16" x14ac:dyDescent="0.2">
      <c r="A4" s="1">
        <v>45778</v>
      </c>
      <c r="B4" s="2">
        <v>213.32</v>
      </c>
      <c r="C4" s="2">
        <v>111.61</v>
      </c>
      <c r="D4" s="2">
        <v>162.79</v>
      </c>
      <c r="E4" s="2">
        <v>425.4</v>
      </c>
      <c r="F4" s="2">
        <v>572.21</v>
      </c>
      <c r="G4" s="31">
        <v>145.49</v>
      </c>
      <c r="H4" s="2">
        <v>477.72</v>
      </c>
      <c r="I4" s="2">
        <v>127.41</v>
      </c>
      <c r="J4" s="2">
        <v>486.67</v>
      </c>
      <c r="K4" s="2">
        <v>271.51</v>
      </c>
      <c r="L4" s="2">
        <v>219.91</v>
      </c>
      <c r="M4" s="3">
        <v>70.27</v>
      </c>
    </row>
    <row r="5" spans="1:16" x14ac:dyDescent="0.2">
      <c r="A5" s="1">
        <v>45810</v>
      </c>
      <c r="B5" s="2">
        <v>201.7</v>
      </c>
      <c r="C5" s="2">
        <v>137.38</v>
      </c>
      <c r="D5" s="2">
        <v>170.37</v>
      </c>
      <c r="E5" s="2">
        <v>461.97</v>
      </c>
      <c r="F5" s="2">
        <v>670.9</v>
      </c>
      <c r="G5" s="31">
        <v>166.57</v>
      </c>
      <c r="H5" s="2">
        <v>478.82</v>
      </c>
      <c r="I5" s="2">
        <v>137.46</v>
      </c>
      <c r="J5" s="2">
        <v>483.38</v>
      </c>
      <c r="K5" s="2">
        <v>275.70999999999998</v>
      </c>
      <c r="L5" s="2">
        <v>243.16</v>
      </c>
      <c r="M5" s="3">
        <v>73.53</v>
      </c>
    </row>
    <row r="6" spans="1:16" x14ac:dyDescent="0.2">
      <c r="A6" s="1">
        <v>45839</v>
      </c>
      <c r="B6" s="2">
        <v>207.82</v>
      </c>
      <c r="C6" s="2">
        <v>153.30000000000001</v>
      </c>
      <c r="D6" s="2">
        <v>176.91</v>
      </c>
      <c r="E6" s="2">
        <v>492.05</v>
      </c>
      <c r="F6" s="2">
        <v>719.22</v>
      </c>
      <c r="G6" s="31">
        <v>218.96</v>
      </c>
      <c r="H6" s="2">
        <v>465.94</v>
      </c>
      <c r="I6" s="2">
        <v>144.19</v>
      </c>
      <c r="J6" s="2">
        <v>503.53</v>
      </c>
      <c r="K6" s="2">
        <v>294.38</v>
      </c>
      <c r="L6" s="2">
        <v>252.18</v>
      </c>
      <c r="M6" s="3">
        <v>80.98</v>
      </c>
    </row>
    <row r="7" spans="1:16" x14ac:dyDescent="0.2">
      <c r="A7" s="1">
        <v>45870</v>
      </c>
      <c r="B7" s="2">
        <v>202.38</v>
      </c>
      <c r="C7" s="2">
        <v>173.72</v>
      </c>
      <c r="D7" s="2">
        <v>189.95</v>
      </c>
      <c r="E7" s="2">
        <v>524.11</v>
      </c>
      <c r="F7" s="2">
        <v>750.01</v>
      </c>
      <c r="G7" s="31">
        <v>244.42</v>
      </c>
      <c r="H7" s="2">
        <v>421.01</v>
      </c>
      <c r="I7" s="2">
        <v>156.81</v>
      </c>
      <c r="J7" s="2">
        <v>586.44000000000005</v>
      </c>
      <c r="K7" s="2">
        <v>310.74</v>
      </c>
      <c r="L7" s="2">
        <v>278.26</v>
      </c>
      <c r="M7" s="3">
        <v>77.23</v>
      </c>
    </row>
    <row r="8" spans="1:16" x14ac:dyDescent="0.2">
      <c r="A8" s="1">
        <v>45902</v>
      </c>
      <c r="B8" s="2">
        <v>229.72</v>
      </c>
      <c r="C8" s="2">
        <v>170.78</v>
      </c>
      <c r="D8" s="2">
        <v>211.99</v>
      </c>
      <c r="E8" s="2">
        <v>505.12</v>
      </c>
      <c r="F8" s="2">
        <v>735.11</v>
      </c>
      <c r="G8" s="31">
        <v>225.3</v>
      </c>
      <c r="H8" s="2">
        <v>452.5</v>
      </c>
      <c r="I8" s="2">
        <v>158.01</v>
      </c>
      <c r="J8" s="2">
        <v>589.32000000000005</v>
      </c>
      <c r="K8" s="2">
        <v>324.39</v>
      </c>
      <c r="L8" s="2">
        <v>275.12</v>
      </c>
      <c r="M8" s="3">
        <v>79.53</v>
      </c>
    </row>
    <row r="9" spans="1:16" x14ac:dyDescent="0.2">
      <c r="A9" s="1">
        <v>45931</v>
      </c>
      <c r="B9" s="2">
        <v>255.45</v>
      </c>
      <c r="C9" s="2">
        <v>187.24</v>
      </c>
      <c r="D9" s="2">
        <v>245.54</v>
      </c>
      <c r="E9" s="2">
        <v>519.71</v>
      </c>
      <c r="F9" s="2">
        <v>717.34</v>
      </c>
      <c r="G9" s="31">
        <v>289.01</v>
      </c>
      <c r="H9" s="2">
        <v>499</v>
      </c>
      <c r="I9" s="2">
        <v>167.2</v>
      </c>
      <c r="J9" s="2">
        <v>605.41999999999996</v>
      </c>
      <c r="K9" s="2">
        <v>340.75</v>
      </c>
      <c r="L9" s="2">
        <v>300.47000000000003</v>
      </c>
      <c r="M9" s="3">
        <v>85.21</v>
      </c>
    </row>
    <row r="10" spans="1:16" x14ac:dyDescent="0.2">
      <c r="A10" s="1">
        <v>45964</v>
      </c>
      <c r="B10" s="2">
        <v>269.05</v>
      </c>
      <c r="C10" s="2">
        <v>206.88</v>
      </c>
      <c r="D10" s="2">
        <v>284.12</v>
      </c>
      <c r="E10" s="2">
        <v>517.03</v>
      </c>
      <c r="F10" s="2">
        <v>637.71</v>
      </c>
      <c r="G10" s="31">
        <v>257.85000000000002</v>
      </c>
      <c r="H10" s="2">
        <v>487.94</v>
      </c>
      <c r="I10" s="2">
        <v>177.04</v>
      </c>
      <c r="J10" s="2">
        <v>575.41</v>
      </c>
      <c r="K10" s="2">
        <v>341.87</v>
      </c>
      <c r="L10" s="2">
        <v>288.58999999999997</v>
      </c>
      <c r="M10" s="3">
        <v>79.98</v>
      </c>
    </row>
    <row r="11" spans="1:16" x14ac:dyDescent="0.2">
      <c r="A11" s="1">
        <v>45992</v>
      </c>
      <c r="B11" s="2">
        <v>283.10000000000002</v>
      </c>
      <c r="C11" s="2">
        <v>179.92</v>
      </c>
      <c r="D11" s="2">
        <v>315.12</v>
      </c>
      <c r="E11" s="2">
        <v>486.74</v>
      </c>
      <c r="F11" s="2">
        <v>640.87</v>
      </c>
      <c r="G11" s="31">
        <v>200.94</v>
      </c>
      <c r="H11" s="2">
        <v>439.19</v>
      </c>
      <c r="I11" s="2">
        <v>168.02</v>
      </c>
      <c r="J11" s="2">
        <v>545.51</v>
      </c>
      <c r="K11" s="2">
        <v>332.38</v>
      </c>
      <c r="L11" s="2">
        <v>272.32</v>
      </c>
      <c r="M11" s="3">
        <v>82</v>
      </c>
    </row>
    <row r="12" spans="1:16" x14ac:dyDescent="0.2">
      <c r="A12" s="1">
        <v>46024</v>
      </c>
      <c r="B12" s="2">
        <v>271.01</v>
      </c>
      <c r="C12" s="2">
        <v>188.85</v>
      </c>
      <c r="D12" s="2">
        <v>315.32</v>
      </c>
      <c r="E12" s="2">
        <v>472.94</v>
      </c>
      <c r="F12" s="2">
        <v>650.41</v>
      </c>
      <c r="G12" s="31">
        <v>195.71</v>
      </c>
      <c r="H12" s="2">
        <v>497.07</v>
      </c>
      <c r="I12" s="2">
        <v>187.25</v>
      </c>
      <c r="J12" s="2">
        <v>585.66</v>
      </c>
      <c r="K12" s="2">
        <v>343.4</v>
      </c>
      <c r="L12" s="2">
        <v>304.48</v>
      </c>
      <c r="M12" s="3">
        <v>87.05</v>
      </c>
    </row>
    <row r="13" spans="1:16" ht="17" thickBot="1" x14ac:dyDescent="0.25">
      <c r="A13" s="4">
        <v>46055</v>
      </c>
      <c r="B13" s="5">
        <v>270.01</v>
      </c>
      <c r="C13" s="5">
        <v>185.61</v>
      </c>
      <c r="D13" s="5">
        <v>344.9</v>
      </c>
      <c r="E13" s="5">
        <v>423.37</v>
      </c>
      <c r="F13" s="5">
        <v>706.41</v>
      </c>
      <c r="G13" s="32">
        <v>160.06</v>
      </c>
      <c r="H13" s="5">
        <v>636</v>
      </c>
      <c r="I13" s="5">
        <v>201.09</v>
      </c>
      <c r="J13" s="5">
        <v>685.02</v>
      </c>
      <c r="K13" s="5">
        <v>346.37</v>
      </c>
      <c r="L13" s="5">
        <v>340.24</v>
      </c>
      <c r="M13" s="6">
        <v>87.56</v>
      </c>
    </row>
    <row r="16" spans="1:16" x14ac:dyDescent="0.2">
      <c r="A16" s="10" t="s">
        <v>13</v>
      </c>
      <c r="B16" s="28" t="s">
        <v>1</v>
      </c>
      <c r="C16" s="28" t="s">
        <v>2</v>
      </c>
      <c r="D16" s="28" t="s">
        <v>3</v>
      </c>
      <c r="E16" s="28" t="s">
        <v>4</v>
      </c>
      <c r="F16" s="29" t="s">
        <v>5</v>
      </c>
      <c r="G16" s="29" t="s">
        <v>6</v>
      </c>
      <c r="H16" s="10" t="s">
        <v>7</v>
      </c>
      <c r="I16" s="10" t="s">
        <v>8</v>
      </c>
      <c r="J16" s="10" t="s">
        <v>9</v>
      </c>
      <c r="K16" s="10" t="s">
        <v>10</v>
      </c>
      <c r="L16" s="44" t="s">
        <v>11</v>
      </c>
      <c r="M16" s="44" t="s">
        <v>12</v>
      </c>
      <c r="N16" s="35" t="s">
        <v>17</v>
      </c>
      <c r="O16" t="s">
        <v>18</v>
      </c>
      <c r="P16" s="30" t="s">
        <v>19</v>
      </c>
    </row>
    <row r="17" spans="1:16" x14ac:dyDescent="0.2">
      <c r="A17" s="36">
        <v>45717</v>
      </c>
      <c r="B17" s="37" t="s">
        <v>14</v>
      </c>
      <c r="C17" s="37" t="s">
        <v>14</v>
      </c>
      <c r="D17" s="37" t="s">
        <v>14</v>
      </c>
      <c r="E17" s="37" t="s">
        <v>14</v>
      </c>
      <c r="F17" s="37" t="s">
        <v>14</v>
      </c>
      <c r="G17" s="34" t="s">
        <v>14</v>
      </c>
      <c r="H17" s="37" t="s">
        <v>14</v>
      </c>
      <c r="I17" s="37" t="s">
        <v>14</v>
      </c>
      <c r="J17" s="37" t="s">
        <v>14</v>
      </c>
      <c r="K17" s="37" t="s">
        <v>14</v>
      </c>
      <c r="L17" s="37" t="s">
        <v>14</v>
      </c>
      <c r="M17" s="38" t="s">
        <v>14</v>
      </c>
    </row>
    <row r="18" spans="1:16" x14ac:dyDescent="0.2">
      <c r="A18" s="36">
        <v>45748</v>
      </c>
      <c r="B18" s="13">
        <f xml:space="preserve"> (B3-B2)/B2</f>
        <v>-6.2345082552619432E-2</v>
      </c>
      <c r="C18" s="13">
        <f xml:space="preserve"> (C3-C2)/C2</f>
        <v>-3.4280203401718362E-2</v>
      </c>
      <c r="D18" s="13">
        <f t="shared" ref="D18:M18" si="0" xml:space="preserve"> (D3-D2)/D2</f>
        <v>-5.7986481679117761E-2</v>
      </c>
      <c r="E18" s="13">
        <f t="shared" si="0"/>
        <v>-1.6216633632783369E-2</v>
      </c>
      <c r="F18" s="13">
        <f t="shared" si="0"/>
        <v>-0.10541180062590635</v>
      </c>
      <c r="G18" s="33">
        <f t="shared" si="0"/>
        <v>-0.12393531662757691</v>
      </c>
      <c r="H18" s="13">
        <f t="shared" si="0"/>
        <v>-7.3018542284374287E-3</v>
      </c>
      <c r="I18" s="13">
        <f t="shared" si="0"/>
        <v>-7.3227228573564829E-3</v>
      </c>
      <c r="J18" s="13">
        <f t="shared" si="0"/>
        <v>8.3838533195327511E-2</v>
      </c>
      <c r="K18" s="13">
        <f t="shared" si="0"/>
        <v>7.9121398205007062E-2</v>
      </c>
      <c r="L18" s="13">
        <f t="shared" si="0"/>
        <v>9.8700048146365509E-3</v>
      </c>
      <c r="M18" s="39">
        <f t="shared" si="0"/>
        <v>-2.5128343690894346E-2</v>
      </c>
      <c r="N18" s="45">
        <f>AVERAGE(B18:G18)</f>
        <v>-6.6695919753287022E-2</v>
      </c>
      <c r="O18" s="45">
        <f>AVERAGE(H18:M18)</f>
        <v>2.2179502573047141E-2</v>
      </c>
      <c r="P18" s="45">
        <f>AVERAGE(B18:M18)</f>
        <v>-2.2258208590119941E-2</v>
      </c>
    </row>
    <row r="19" spans="1:16" x14ac:dyDescent="0.2">
      <c r="A19" s="36">
        <v>45778</v>
      </c>
      <c r="B19" s="13">
        <f t="shared" ref="B19:M28" si="1" xml:space="preserve"> (B4-B3)/B3</f>
        <v>-4.422241139836016E-2</v>
      </c>
      <c r="C19" s="13">
        <f t="shared" si="1"/>
        <v>1.325465274625505E-2</v>
      </c>
      <c r="D19" s="13">
        <f t="shared" si="1"/>
        <v>2.4609768378650532E-2</v>
      </c>
      <c r="E19" s="13">
        <f t="shared" si="1"/>
        <v>0.11305894973704174</v>
      </c>
      <c r="F19" s="13">
        <f t="shared" si="1"/>
        <v>-2.3532423208191065E-2</v>
      </c>
      <c r="G19" s="33">
        <f t="shared" si="1"/>
        <v>2.501056784556863E-2</v>
      </c>
      <c r="H19" s="13">
        <f t="shared" si="1"/>
        <v>6.4818116975749018E-2</v>
      </c>
      <c r="I19" s="13">
        <f t="shared" si="1"/>
        <v>-4.0948438088069236E-2</v>
      </c>
      <c r="J19" s="13">
        <f t="shared" si="1"/>
        <v>-5.1510426817384533E-2</v>
      </c>
      <c r="K19" s="13">
        <f t="shared" si="1"/>
        <v>-9.5936382870066231E-3</v>
      </c>
      <c r="L19" s="13">
        <f t="shared" si="1"/>
        <v>4.8438617401668639E-2</v>
      </c>
      <c r="M19" s="39">
        <f t="shared" si="1"/>
        <v>-2.619179600886919E-2</v>
      </c>
      <c r="N19" s="45">
        <f t="shared" ref="N19:N28" si="2">AVERAGE(B19:G19)</f>
        <v>1.8029850683494119E-2</v>
      </c>
      <c r="O19" s="45">
        <f t="shared" ref="O19:O28" si="3">AVERAGE(H19:M19)</f>
        <v>-2.497927470651987E-3</v>
      </c>
      <c r="P19" s="45">
        <f t="shared" ref="P19:P28" si="4">AVERAGE(B19:M19)</f>
        <v>7.7659616064210645E-3</v>
      </c>
    </row>
    <row r="20" spans="1:16" x14ac:dyDescent="0.2">
      <c r="A20" s="36">
        <v>45809</v>
      </c>
      <c r="B20" s="13">
        <f t="shared" si="1"/>
        <v>-5.4472154509656874E-2</v>
      </c>
      <c r="C20" s="13">
        <f t="shared" si="1"/>
        <v>0.23089328913179819</v>
      </c>
      <c r="D20" s="13">
        <f t="shared" si="1"/>
        <v>4.6563056698814505E-2</v>
      </c>
      <c r="E20" s="13">
        <f t="shared" si="1"/>
        <v>8.5966149506347095E-2</v>
      </c>
      <c r="F20" s="13">
        <f t="shared" si="1"/>
        <v>0.17247164502542761</v>
      </c>
      <c r="G20" s="33">
        <f t="shared" si="1"/>
        <v>0.14488968313973458</v>
      </c>
      <c r="H20" s="13">
        <f t="shared" si="1"/>
        <v>2.3026040358368203E-3</v>
      </c>
      <c r="I20" s="13">
        <f t="shared" si="1"/>
        <v>7.8879208853308305E-2</v>
      </c>
      <c r="J20" s="13">
        <f t="shared" si="1"/>
        <v>-6.7602276696735368E-3</v>
      </c>
      <c r="K20" s="13">
        <f t="shared" si="1"/>
        <v>1.5469043497477032E-2</v>
      </c>
      <c r="L20" s="13">
        <f t="shared" si="1"/>
        <v>0.10572506934655086</v>
      </c>
      <c r="M20" s="39">
        <f t="shared" si="1"/>
        <v>4.6392486124946709E-2</v>
      </c>
      <c r="N20" s="45">
        <f t="shared" si="2"/>
        <v>0.10438527816541084</v>
      </c>
      <c r="O20" s="45">
        <f t="shared" si="3"/>
        <v>4.0334697364741032E-2</v>
      </c>
      <c r="P20" s="45">
        <f t="shared" si="4"/>
        <v>7.2359987765075948E-2</v>
      </c>
    </row>
    <row r="21" spans="1:16" x14ac:dyDescent="0.2">
      <c r="A21" s="36">
        <v>45839</v>
      </c>
      <c r="B21" s="13">
        <f t="shared" si="1"/>
        <v>3.0342092216162641E-2</v>
      </c>
      <c r="C21" s="13">
        <f t="shared" si="1"/>
        <v>0.11588295239481741</v>
      </c>
      <c r="D21" s="13">
        <f t="shared" si="1"/>
        <v>3.8387039971825979E-2</v>
      </c>
      <c r="E21" s="13">
        <f t="shared" si="1"/>
        <v>6.5112453189601016E-2</v>
      </c>
      <c r="F21" s="13">
        <f t="shared" si="1"/>
        <v>7.2022656133552021E-2</v>
      </c>
      <c r="G21" s="33">
        <f t="shared" si="1"/>
        <v>0.31452242300534322</v>
      </c>
      <c r="H21" s="13">
        <f t="shared" si="1"/>
        <v>-2.6899461175389491E-2</v>
      </c>
      <c r="I21" s="13">
        <f t="shared" si="1"/>
        <v>4.8959697366506544E-2</v>
      </c>
      <c r="J21" s="13">
        <f t="shared" si="1"/>
        <v>4.1685630352931394E-2</v>
      </c>
      <c r="K21" s="13">
        <f t="shared" si="1"/>
        <v>6.7716078488266718E-2</v>
      </c>
      <c r="L21" s="13">
        <f t="shared" si="1"/>
        <v>3.7094916927126215E-2</v>
      </c>
      <c r="M21" s="39">
        <f t="shared" si="1"/>
        <v>0.10131918944648446</v>
      </c>
      <c r="N21" s="45">
        <f t="shared" si="2"/>
        <v>0.10604493615188371</v>
      </c>
      <c r="O21" s="45">
        <f t="shared" si="3"/>
        <v>4.4979341900987645E-2</v>
      </c>
      <c r="P21" s="45">
        <f t="shared" si="4"/>
        <v>7.5512139026435665E-2</v>
      </c>
    </row>
    <row r="22" spans="1:16" x14ac:dyDescent="0.2">
      <c r="A22" s="36">
        <v>45870</v>
      </c>
      <c r="B22" s="13">
        <f t="shared" si="1"/>
        <v>-2.6176498893273014E-2</v>
      </c>
      <c r="C22" s="13">
        <f t="shared" si="1"/>
        <v>0.13320287018917146</v>
      </c>
      <c r="D22" s="13">
        <f t="shared" si="1"/>
        <v>7.3709795941439102E-2</v>
      </c>
      <c r="E22" s="13">
        <f t="shared" si="1"/>
        <v>6.5155980083324863E-2</v>
      </c>
      <c r="F22" s="13">
        <f t="shared" si="1"/>
        <v>4.2810266677789775E-2</v>
      </c>
      <c r="G22" s="33">
        <f t="shared" si="1"/>
        <v>0.11627694556083293</v>
      </c>
      <c r="H22" s="13">
        <f t="shared" si="1"/>
        <v>-9.6428724728505832E-2</v>
      </c>
      <c r="I22" s="13">
        <f t="shared" si="1"/>
        <v>8.7523406616270227E-2</v>
      </c>
      <c r="J22" s="13">
        <f t="shared" si="1"/>
        <v>0.16465751792346053</v>
      </c>
      <c r="K22" s="13">
        <f t="shared" si="1"/>
        <v>5.5574427610571416E-2</v>
      </c>
      <c r="L22" s="13">
        <f t="shared" si="1"/>
        <v>0.10341819335395346</v>
      </c>
      <c r="M22" s="39">
        <f t="shared" si="1"/>
        <v>-4.6307730303778709E-2</v>
      </c>
      <c r="N22" s="45">
        <f t="shared" si="2"/>
        <v>6.7496559926547517E-2</v>
      </c>
      <c r="O22" s="45">
        <f t="shared" si="3"/>
        <v>4.4739515078661841E-2</v>
      </c>
      <c r="P22" s="45">
        <f t="shared" si="4"/>
        <v>5.6118037502604683E-2</v>
      </c>
    </row>
    <row r="23" spans="1:16" x14ac:dyDescent="0.2">
      <c r="A23" s="36">
        <v>45901</v>
      </c>
      <c r="B23" s="13">
        <f t="shared" si="1"/>
        <v>0.13509240043482559</v>
      </c>
      <c r="C23" s="13">
        <f t="shared" si="1"/>
        <v>-1.6923785401795982E-2</v>
      </c>
      <c r="D23" s="13">
        <f t="shared" si="1"/>
        <v>0.11603053435114516</v>
      </c>
      <c r="E23" s="13">
        <f t="shared" si="1"/>
        <v>-3.623285188223848E-2</v>
      </c>
      <c r="F23" s="13">
        <f t="shared" si="1"/>
        <v>-1.9866401781309554E-2</v>
      </c>
      <c r="G23" s="33">
        <f t="shared" si="1"/>
        <v>-7.8226004418623582E-2</v>
      </c>
      <c r="H23" s="13">
        <f t="shared" si="1"/>
        <v>7.479632312771671E-2</v>
      </c>
      <c r="I23" s="13">
        <f t="shared" si="1"/>
        <v>7.6525731777309395E-3</v>
      </c>
      <c r="J23" s="13">
        <f t="shared" si="1"/>
        <v>4.9109883364026928E-3</v>
      </c>
      <c r="K23" s="13">
        <f t="shared" si="1"/>
        <v>4.392739911179757E-2</v>
      </c>
      <c r="L23" s="13">
        <f t="shared" si="1"/>
        <v>-1.1284410263782026E-2</v>
      </c>
      <c r="M23" s="39">
        <f t="shared" si="1"/>
        <v>2.9781173119254139E-2</v>
      </c>
      <c r="N23" s="45">
        <f t="shared" si="2"/>
        <v>1.6645648550333857E-2</v>
      </c>
      <c r="O23" s="45">
        <f t="shared" si="3"/>
        <v>2.4964007768186667E-2</v>
      </c>
      <c r="P23" s="45">
        <f t="shared" si="4"/>
        <v>2.0804828159260266E-2</v>
      </c>
    </row>
    <row r="24" spans="1:16" x14ac:dyDescent="0.2">
      <c r="A24" s="36">
        <v>45931</v>
      </c>
      <c r="B24" s="13">
        <f t="shared" si="1"/>
        <v>0.11200592025073999</v>
      </c>
      <c r="C24" s="13">
        <f t="shared" si="1"/>
        <v>9.6381309286801775E-2</v>
      </c>
      <c r="D24" s="13">
        <f t="shared" si="1"/>
        <v>0.15826218217840454</v>
      </c>
      <c r="E24" s="13">
        <f t="shared" si="1"/>
        <v>2.8884225530567055E-2</v>
      </c>
      <c r="F24" s="13">
        <f t="shared" si="1"/>
        <v>-2.4173252982546804E-2</v>
      </c>
      <c r="G24" s="33">
        <f t="shared" si="1"/>
        <v>0.2827785175321792</v>
      </c>
      <c r="H24" s="13">
        <f t="shared" si="1"/>
        <v>0.10276243093922652</v>
      </c>
      <c r="I24" s="13">
        <f t="shared" si="1"/>
        <v>5.816087589393075E-2</v>
      </c>
      <c r="J24" s="13">
        <f t="shared" si="1"/>
        <v>2.7319622615896131E-2</v>
      </c>
      <c r="K24" s="13">
        <f t="shared" si="1"/>
        <v>5.0433120626406529E-2</v>
      </c>
      <c r="L24" s="13">
        <f t="shared" si="1"/>
        <v>9.2141610933410958E-2</v>
      </c>
      <c r="M24" s="39">
        <f t="shared" si="1"/>
        <v>7.1419590091789165E-2</v>
      </c>
      <c r="N24" s="45">
        <f t="shared" si="2"/>
        <v>0.10902315029935765</v>
      </c>
      <c r="O24" s="45">
        <f t="shared" si="3"/>
        <v>6.7039541850110004E-2</v>
      </c>
      <c r="P24" s="45">
        <f t="shared" si="4"/>
        <v>8.8031346074733827E-2</v>
      </c>
    </row>
    <row r="25" spans="1:16" x14ac:dyDescent="0.2">
      <c r="A25" s="36">
        <v>45962</v>
      </c>
      <c r="B25" s="13">
        <f t="shared" si="1"/>
        <v>5.3239381483656381E-2</v>
      </c>
      <c r="C25" s="13">
        <f t="shared" si="1"/>
        <v>0.10489211706900227</v>
      </c>
      <c r="D25" s="13">
        <f t="shared" si="1"/>
        <v>0.15712307566995201</v>
      </c>
      <c r="E25" s="13">
        <f t="shared" si="1"/>
        <v>-5.1567220180486492E-3</v>
      </c>
      <c r="F25" s="13">
        <f t="shared" si="1"/>
        <v>-0.11100733264560737</v>
      </c>
      <c r="G25" s="33">
        <f t="shared" si="1"/>
        <v>-0.10781633853499868</v>
      </c>
      <c r="H25" s="13">
        <f t="shared" si="1"/>
        <v>-2.2164328657314634E-2</v>
      </c>
      <c r="I25" s="13">
        <f t="shared" si="1"/>
        <v>5.8851674641148349E-2</v>
      </c>
      <c r="J25" s="13">
        <f t="shared" si="1"/>
        <v>-4.9568894321297602E-2</v>
      </c>
      <c r="K25" s="13">
        <f t="shared" si="1"/>
        <v>3.286867204695538E-3</v>
      </c>
      <c r="L25" s="13">
        <f t="shared" si="1"/>
        <v>-3.9538057043964625E-2</v>
      </c>
      <c r="M25" s="39">
        <f t="shared" si="1"/>
        <v>-6.1377772561905762E-2</v>
      </c>
      <c r="N25" s="45">
        <f t="shared" si="2"/>
        <v>1.5212363503992658E-2</v>
      </c>
      <c r="O25" s="45">
        <f t="shared" si="3"/>
        <v>-1.8418418456439791E-2</v>
      </c>
      <c r="P25" s="45">
        <f t="shared" si="4"/>
        <v>-1.6030274762235646E-3</v>
      </c>
    </row>
    <row r="26" spans="1:16" x14ac:dyDescent="0.2">
      <c r="A26" s="36">
        <v>45992</v>
      </c>
      <c r="B26" s="13">
        <f t="shared" si="1"/>
        <v>5.222077680728493E-2</v>
      </c>
      <c r="C26" s="13">
        <f t="shared" si="1"/>
        <v>-0.13031709203402944</v>
      </c>
      <c r="D26" s="13">
        <f t="shared" si="1"/>
        <v>0.10910882725608897</v>
      </c>
      <c r="E26" s="13">
        <f t="shared" si="1"/>
        <v>-5.8584608243235338E-2</v>
      </c>
      <c r="F26" s="13">
        <f t="shared" si="1"/>
        <v>4.9552304338962346E-3</v>
      </c>
      <c r="G26" s="33">
        <f t="shared" si="1"/>
        <v>-0.22070971495055272</v>
      </c>
      <c r="H26" s="13">
        <f t="shared" si="1"/>
        <v>-9.9909824978480957E-2</v>
      </c>
      <c r="I26" s="13">
        <f t="shared" si="1"/>
        <v>-5.0948938093086205E-2</v>
      </c>
      <c r="J26" s="13">
        <f t="shared" si="1"/>
        <v>-5.1962948158704191E-2</v>
      </c>
      <c r="K26" s="13">
        <f t="shared" si="1"/>
        <v>-2.7759089712463828E-2</v>
      </c>
      <c r="L26" s="13">
        <f t="shared" si="1"/>
        <v>-5.6377559860008954E-2</v>
      </c>
      <c r="M26" s="39">
        <f t="shared" si="1"/>
        <v>2.5256314078519578E-2</v>
      </c>
      <c r="N26" s="45">
        <f t="shared" si="2"/>
        <v>-4.0554430121757891E-2</v>
      </c>
      <c r="O26" s="45">
        <f t="shared" si="3"/>
        <v>-4.3617007787370758E-2</v>
      </c>
      <c r="P26" s="45">
        <f t="shared" si="4"/>
        <v>-4.2085718954564318E-2</v>
      </c>
    </row>
    <row r="27" spans="1:16" x14ac:dyDescent="0.2">
      <c r="A27" s="36">
        <v>46023</v>
      </c>
      <c r="B27" s="13">
        <f t="shared" si="1"/>
        <v>-4.2705757682797704E-2</v>
      </c>
      <c r="C27" s="13">
        <f t="shared" si="1"/>
        <v>4.9633170297910222E-2</v>
      </c>
      <c r="D27" s="13">
        <f t="shared" si="1"/>
        <v>6.3467885250059861E-4</v>
      </c>
      <c r="E27" s="13">
        <f t="shared" si="1"/>
        <v>-2.8351892180630337E-2</v>
      </c>
      <c r="F27" s="13">
        <f t="shared" si="1"/>
        <v>1.4886014324277878E-2</v>
      </c>
      <c r="G27" s="33">
        <f t="shared" si="1"/>
        <v>-2.6027669951229172E-2</v>
      </c>
      <c r="H27" s="13">
        <f t="shared" si="1"/>
        <v>0.13178806439126572</v>
      </c>
      <c r="I27" s="13">
        <f t="shared" si="1"/>
        <v>0.11445066063563855</v>
      </c>
      <c r="J27" s="13">
        <f t="shared" si="1"/>
        <v>7.3600850580190974E-2</v>
      </c>
      <c r="K27" s="13">
        <f t="shared" si="1"/>
        <v>3.3154822793188467E-2</v>
      </c>
      <c r="L27" s="13">
        <f t="shared" si="1"/>
        <v>0.1180963572267921</v>
      </c>
      <c r="M27" s="39">
        <f t="shared" si="1"/>
        <v>6.1585365853658501E-2</v>
      </c>
      <c r="N27" s="45">
        <f t="shared" si="2"/>
        <v>-5.3219093899947523E-3</v>
      </c>
      <c r="O27" s="45">
        <f t="shared" si="3"/>
        <v>8.8779353580122386E-2</v>
      </c>
      <c r="P27" s="45">
        <f t="shared" si="4"/>
        <v>4.1728722095063814E-2</v>
      </c>
    </row>
    <row r="28" spans="1:16" ht="17" thickBot="1" x14ac:dyDescent="0.25">
      <c r="A28" s="40">
        <v>46054</v>
      </c>
      <c r="B28" s="41">
        <f xml:space="preserve"> (B13-B12)/B12</f>
        <v>-3.689900741670049E-3</v>
      </c>
      <c r="C28" s="41">
        <f t="shared" ref="C28:H28" si="5" xml:space="preserve"> (C13-C12)/C12</f>
        <v>-1.7156473391580516E-2</v>
      </c>
      <c r="D28" s="41">
        <f t="shared" si="5"/>
        <v>9.3809463402257973E-2</v>
      </c>
      <c r="E28" s="41">
        <f t="shared" si="5"/>
        <v>-0.10481244978221338</v>
      </c>
      <c r="F28" s="41">
        <f t="shared" si="5"/>
        <v>8.6099537214987476E-2</v>
      </c>
      <c r="G28" s="42">
        <f t="shared" si="5"/>
        <v>-0.18215727351693836</v>
      </c>
      <c r="H28" s="41">
        <f t="shared" si="5"/>
        <v>0.27949785744462552</v>
      </c>
      <c r="I28" s="41">
        <f t="shared" si="1"/>
        <v>7.3911882510013363E-2</v>
      </c>
      <c r="J28" s="41">
        <f t="shared" si="1"/>
        <v>0.16965474848888437</v>
      </c>
      <c r="K28" s="41">
        <f t="shared" si="1"/>
        <v>8.6488060570763751E-3</v>
      </c>
      <c r="L28" s="41">
        <f t="shared" si="1"/>
        <v>0.11744613767735151</v>
      </c>
      <c r="M28" s="43">
        <f t="shared" si="1"/>
        <v>5.8587018954624369E-3</v>
      </c>
      <c r="N28" s="45">
        <f t="shared" si="2"/>
        <v>-2.1317849469192809E-2</v>
      </c>
      <c r="O28" s="45">
        <f t="shared" si="3"/>
        <v>0.10916968901223562</v>
      </c>
      <c r="P28" s="45">
        <f t="shared" si="4"/>
        <v>4.3925919771521389E-2</v>
      </c>
    </row>
    <row r="29" spans="1:16" ht="17" thickBot="1" x14ac:dyDescent="0.25">
      <c r="A29" s="11"/>
      <c r="B29" s="12"/>
    </row>
    <row r="30" spans="1:16" ht="17" thickBot="1" x14ac:dyDescent="0.25">
      <c r="A30" s="16" t="s">
        <v>15</v>
      </c>
      <c r="B30" s="14">
        <f xml:space="preserve"> AVERAGE(B18:B28)</f>
        <v>1.3571705946753844E-2</v>
      </c>
      <c r="C30" s="14">
        <f t="shared" ref="C30:P30" si="6" xml:space="preserve"> AVERAGE(C18:C28)</f>
        <v>4.9587527898784733E-2</v>
      </c>
      <c r="D30" s="14">
        <f t="shared" si="6"/>
        <v>6.9113812820178311E-2</v>
      </c>
      <c r="E30" s="14">
        <f t="shared" si="6"/>
        <v>9.8929636643392948E-3</v>
      </c>
      <c r="F30" s="14">
        <f t="shared" si="6"/>
        <v>9.9321944151245321E-3</v>
      </c>
      <c r="G30" s="14">
        <f t="shared" si="6"/>
        <v>1.3145983553067193E-2</v>
      </c>
      <c r="H30" s="14">
        <f t="shared" si="6"/>
        <v>3.6660109376935639E-2</v>
      </c>
      <c r="I30" s="14">
        <f t="shared" si="6"/>
        <v>3.9015443696003189E-2</v>
      </c>
      <c r="J30" s="14">
        <f t="shared" si="6"/>
        <v>3.6896854047821254E-2</v>
      </c>
      <c r="K30" s="14">
        <f t="shared" si="6"/>
        <v>2.9089021417728754E-2</v>
      </c>
      <c r="L30" s="14">
        <f t="shared" si="6"/>
        <v>4.7730080046703156E-2</v>
      </c>
      <c r="M30" s="15">
        <f t="shared" si="6"/>
        <v>1.660065254951518E-2</v>
      </c>
      <c r="N30" s="15">
        <f t="shared" si="6"/>
        <v>2.7540698049707987E-2</v>
      </c>
      <c r="O30" s="15">
        <f t="shared" si="6"/>
        <v>3.4332026855784521E-2</v>
      </c>
      <c r="P30" s="15">
        <f t="shared" si="6"/>
        <v>3.0936362452746266E-2</v>
      </c>
    </row>
    <row r="31" spans="1:16" ht="17" thickBot="1" x14ac:dyDescent="0.25">
      <c r="A31" s="17" t="s">
        <v>16</v>
      </c>
      <c r="B31" s="20">
        <f>_xlfn.STDEV.S(B18:B28)</f>
        <v>6.8252191348433494E-2</v>
      </c>
      <c r="C31" s="20">
        <f t="shared" ref="C31:P31" si="7">_xlfn.STDEV.S(C18:C28)</f>
        <v>9.9551347767654133E-2</v>
      </c>
      <c r="D31" s="20">
        <f t="shared" si="7"/>
        <v>6.6634824272148618E-2</v>
      </c>
      <c r="E31" s="20">
        <f t="shared" si="7"/>
        <v>6.7260081042049405E-2</v>
      </c>
      <c r="F31" s="20">
        <f t="shared" si="7"/>
        <v>8.2648451646729196E-2</v>
      </c>
      <c r="G31" s="20">
        <f t="shared" si="7"/>
        <v>0.18105277108801357</v>
      </c>
      <c r="H31" s="20">
        <f t="shared" si="7"/>
        <v>0.11027849812562442</v>
      </c>
      <c r="I31" s="20">
        <f t="shared" si="7"/>
        <v>5.415529074465527E-2</v>
      </c>
      <c r="J31" s="20">
        <f t="shared" si="7"/>
        <v>7.9831121689474038E-2</v>
      </c>
      <c r="K31" s="20">
        <f t="shared" si="7"/>
        <v>3.3743380144904397E-2</v>
      </c>
      <c r="L31" s="20">
        <f t="shared" si="7"/>
        <v>6.4600729872212187E-2</v>
      </c>
      <c r="M31" s="21">
        <f t="shared" si="7"/>
        <v>5.2027072266124429E-2</v>
      </c>
      <c r="N31" s="21">
        <f t="shared" si="7"/>
        <v>6.1359275760895692E-2</v>
      </c>
      <c r="O31" s="21">
        <f t="shared" si="7"/>
        <v>4.510347262660324E-2</v>
      </c>
      <c r="P31" s="21">
        <f t="shared" si="7"/>
        <v>4.2121595709590301E-2</v>
      </c>
    </row>
    <row r="32" spans="1:16" ht="17" thickBot="1" x14ac:dyDescent="0.25">
      <c r="A32" s="18" t="s">
        <v>25</v>
      </c>
      <c r="B32" s="22">
        <f>AVERAGE(B18:B28)*12</f>
        <v>0.16286047136104612</v>
      </c>
      <c r="C32" s="22">
        <f t="shared" ref="C32:L32" si="8">AVERAGE(C18:C28)*12</f>
        <v>0.5950503347854168</v>
      </c>
      <c r="D32" s="22">
        <f t="shared" si="8"/>
        <v>0.82936575384213973</v>
      </c>
      <c r="E32" s="22">
        <f t="shared" si="8"/>
        <v>0.11871556397207153</v>
      </c>
      <c r="F32" s="22">
        <f t="shared" si="8"/>
        <v>0.11918633298149439</v>
      </c>
      <c r="G32" s="22">
        <f t="shared" si="8"/>
        <v>0.15775180263680633</v>
      </c>
      <c r="H32" s="22">
        <f t="shared" si="8"/>
        <v>0.43992131252322764</v>
      </c>
      <c r="I32" s="22">
        <f t="shared" si="8"/>
        <v>0.4681853243520383</v>
      </c>
      <c r="J32" s="22">
        <f t="shared" si="8"/>
        <v>0.44276224857385504</v>
      </c>
      <c r="K32" s="22">
        <f t="shared" si="8"/>
        <v>0.34906825701274502</v>
      </c>
      <c r="L32" s="22">
        <f t="shared" si="8"/>
        <v>0.5727609605604379</v>
      </c>
      <c r="M32" s="23">
        <f>AVERAGE(M18:M28)*12</f>
        <v>0.19920783059418218</v>
      </c>
      <c r="N32" s="23">
        <f t="shared" ref="N32:P32" si="9">AVERAGE(N18:N28)*12</f>
        <v>0.33048837659649583</v>
      </c>
      <c r="O32" s="23">
        <f t="shared" si="9"/>
        <v>0.41198432226941428</v>
      </c>
      <c r="P32" s="23">
        <f t="shared" si="9"/>
        <v>0.37123634943295519</v>
      </c>
    </row>
    <row r="33" spans="1:16" ht="17" thickBot="1" x14ac:dyDescent="0.25">
      <c r="A33" s="19" t="s">
        <v>20</v>
      </c>
      <c r="B33" s="24">
        <f>_xlfn.STDEV.S(B18:B28)*SQRT(12)</f>
        <v>0.23643252628679953</v>
      </c>
      <c r="C33" s="24">
        <f t="shared" ref="C33:P33" si="10">_xlfn.STDEV.S(C18:C28)*SQRT(12)</f>
        <v>0.34485598459107097</v>
      </c>
      <c r="D33" s="24">
        <f t="shared" si="10"/>
        <v>0.23082980238557047</v>
      </c>
      <c r="E33" s="24">
        <f t="shared" si="10"/>
        <v>0.2329957553720596</v>
      </c>
      <c r="F33" s="24">
        <f t="shared" si="10"/>
        <v>0.28630263483806923</v>
      </c>
      <c r="G33" s="24">
        <f t="shared" si="10"/>
        <v>0.62718519675115392</v>
      </c>
      <c r="H33" s="24">
        <f t="shared" si="10"/>
        <v>0.38201592347194135</v>
      </c>
      <c r="I33" s="24">
        <f t="shared" si="10"/>
        <v>0.18759943013681502</v>
      </c>
      <c r="J33" s="24">
        <f t="shared" si="10"/>
        <v>0.27654311758276562</v>
      </c>
      <c r="K33" s="24">
        <f t="shared" si="10"/>
        <v>0.11689049766017055</v>
      </c>
      <c r="L33" s="24">
        <f t="shared" si="10"/>
        <v>0.223783492689408</v>
      </c>
      <c r="M33" s="25">
        <f t="shared" si="10"/>
        <v>0.18022706506797029</v>
      </c>
      <c r="N33" s="25">
        <f t="shared" si="10"/>
        <v>0.21255476626700162</v>
      </c>
      <c r="O33" s="25">
        <f t="shared" si="10"/>
        <v>0.15624301237413779</v>
      </c>
      <c r="P33" s="25">
        <f t="shared" si="10"/>
        <v>0.14591348772977128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40247-88A4-2D49-AD52-795A539BE337}">
  <dimension ref="A1:M9"/>
  <sheetViews>
    <sheetView tabSelected="1" zoomScale="137" zoomScaleNormal="100" workbookViewId="0">
      <selection activeCell="D17" sqref="D17"/>
    </sheetView>
  </sheetViews>
  <sheetFormatPr baseColWidth="10" defaultRowHeight="16" x14ac:dyDescent="0.2"/>
  <cols>
    <col min="1" max="1" width="26.1640625" bestFit="1" customWidth="1"/>
    <col min="2" max="13" width="9.83203125" customWidth="1"/>
    <col min="14" max="14" width="26.1640625" bestFit="1" customWidth="1"/>
    <col min="15" max="15" width="17.5" bestFit="1" customWidth="1"/>
    <col min="16" max="16" width="15" bestFit="1" customWidth="1"/>
    <col min="17" max="17" width="14.1640625" bestFit="1" customWidth="1"/>
  </cols>
  <sheetData>
    <row r="1" spans="1:13" ht="17" thickBot="1" x14ac:dyDescent="0.25">
      <c r="A1" s="59" t="s">
        <v>21</v>
      </c>
      <c r="B1" s="63" t="s">
        <v>26</v>
      </c>
      <c r="C1" s="64"/>
      <c r="D1" s="64"/>
      <c r="E1" s="64"/>
      <c r="F1" s="64"/>
      <c r="G1" s="65"/>
      <c r="H1" s="66" t="s">
        <v>27</v>
      </c>
      <c r="I1" s="66"/>
      <c r="J1" s="66"/>
      <c r="K1" s="66"/>
      <c r="L1" s="66"/>
      <c r="M1" s="67"/>
    </row>
    <row r="2" spans="1:13" ht="17" thickBot="1" x14ac:dyDescent="0.25">
      <c r="A2" s="68" t="s">
        <v>28</v>
      </c>
      <c r="B2" s="73" t="s">
        <v>1</v>
      </c>
      <c r="C2" s="74" t="s">
        <v>2</v>
      </c>
      <c r="D2" s="74" t="s">
        <v>3</v>
      </c>
      <c r="E2" s="74" t="s">
        <v>4</v>
      </c>
      <c r="F2" s="75" t="s">
        <v>5</v>
      </c>
      <c r="G2" s="76" t="s">
        <v>6</v>
      </c>
      <c r="H2" s="77" t="s">
        <v>7</v>
      </c>
      <c r="I2" s="60" t="s">
        <v>8</v>
      </c>
      <c r="J2" s="60" t="s">
        <v>9</v>
      </c>
      <c r="K2" s="60" t="s">
        <v>10</v>
      </c>
      <c r="L2" s="61" t="s">
        <v>11</v>
      </c>
      <c r="M2" s="62" t="s">
        <v>12</v>
      </c>
    </row>
    <row r="3" spans="1:13" ht="17" thickBot="1" x14ac:dyDescent="0.25">
      <c r="A3" s="69" t="s">
        <v>25</v>
      </c>
      <c r="B3" s="71">
        <v>0.16286047136104612</v>
      </c>
      <c r="C3" s="57">
        <v>0.5950503347854168</v>
      </c>
      <c r="D3" s="57">
        <v>0.82936575384213973</v>
      </c>
      <c r="E3" s="57">
        <v>0.11871556397207153</v>
      </c>
      <c r="F3" s="57">
        <v>0.11918633298149439</v>
      </c>
      <c r="G3" s="58">
        <v>0.15775180263680633</v>
      </c>
      <c r="H3" s="57">
        <v>0.43992131252322764</v>
      </c>
      <c r="I3" s="57">
        <v>0.4681853243520383</v>
      </c>
      <c r="J3" s="57">
        <v>0.44276224857385504</v>
      </c>
      <c r="K3" s="57">
        <v>0.34906825701274502</v>
      </c>
      <c r="L3" s="57">
        <v>0.5727609605604379</v>
      </c>
      <c r="M3" s="58">
        <v>0.19920783059418218</v>
      </c>
    </row>
    <row r="4" spans="1:13" ht="17" thickBot="1" x14ac:dyDescent="0.25">
      <c r="A4" s="70" t="s">
        <v>20</v>
      </c>
      <c r="B4" s="72">
        <v>0.23643252628679953</v>
      </c>
      <c r="C4" s="24">
        <v>0.34485598459107097</v>
      </c>
      <c r="D4" s="24">
        <v>0.23082980238557047</v>
      </c>
      <c r="E4" s="24">
        <v>0.2329957553720596</v>
      </c>
      <c r="F4" s="24">
        <v>0.28630263483806923</v>
      </c>
      <c r="G4" s="25">
        <v>0.62718519675115392</v>
      </c>
      <c r="H4" s="24">
        <v>0.38201592347194135</v>
      </c>
      <c r="I4" s="24">
        <v>0.18759943013681502</v>
      </c>
      <c r="J4" s="24">
        <v>0.27654311758276562</v>
      </c>
      <c r="K4" s="24">
        <v>0.11689049766017055</v>
      </c>
      <c r="L4" s="24">
        <v>0.223783492689408</v>
      </c>
      <c r="M4" s="25">
        <v>0.18022706506797029</v>
      </c>
    </row>
    <row r="6" spans="1:13" ht="17" thickBot="1" x14ac:dyDescent="0.25"/>
    <row r="7" spans="1:13" ht="17" thickBot="1" x14ac:dyDescent="0.25">
      <c r="A7" s="48" t="s">
        <v>21</v>
      </c>
      <c r="B7" s="49" t="s">
        <v>22</v>
      </c>
      <c r="C7" s="49" t="s">
        <v>23</v>
      </c>
      <c r="D7" s="50" t="s">
        <v>24</v>
      </c>
    </row>
    <row r="8" spans="1:13" ht="17" thickBot="1" x14ac:dyDescent="0.25">
      <c r="A8" s="46" t="s">
        <v>25</v>
      </c>
      <c r="B8" s="51">
        <v>0.330488</v>
      </c>
      <c r="C8" s="52">
        <v>0.41198400000000002</v>
      </c>
      <c r="D8" s="53">
        <v>0.37123600000000001</v>
      </c>
    </row>
    <row r="9" spans="1:13" ht="17" thickBot="1" x14ac:dyDescent="0.25">
      <c r="A9" s="47" t="s">
        <v>20</v>
      </c>
      <c r="B9" s="54">
        <v>0.21255499999999999</v>
      </c>
      <c r="C9" s="55">
        <v>0.15624299999999999</v>
      </c>
      <c r="D9" s="56">
        <v>0.14591299999999999</v>
      </c>
    </row>
  </sheetData>
  <mergeCells count="2">
    <mergeCell ref="B1:G1"/>
    <mergeCell ref="H1:M1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Stocks and Calculations</vt:lpstr>
      <vt:lpstr>Tables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Teodor Emiliyanov Shopov</dc:creator>
  <cp:lastModifiedBy>Teodor Emiliyanov Shopov</cp:lastModifiedBy>
  <dcterms:created xsi:type="dcterms:W3CDTF">2026-03-19T16:09:41Z</dcterms:created>
  <dcterms:modified xsi:type="dcterms:W3CDTF">2026-03-24T15:00:17Z</dcterms:modified>
</cp:coreProperties>
</file>