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dorshopov/Downloads/"/>
    </mc:Choice>
  </mc:AlternateContent>
  <xr:revisionPtr revIDLastSave="0" documentId="13_ncr:1_{3FB3132B-5304-2948-8000-66AE2A118B85}" xr6:coauthVersionLast="47" xr6:coauthVersionMax="47" xr10:uidLastSave="{00000000-0000-0000-0000-000000000000}"/>
  <bookViews>
    <workbookView xWindow="0" yWindow="580" windowWidth="28800" windowHeight="16640" xr2:uid="{E916383A-3D4A-7B4B-8DF4-DB3A781C71E6}"/>
  </bookViews>
  <sheets>
    <sheet name="Stocks and Calculations" sheetId="1" r:id="rId1"/>
    <sheet name="Tables and plot " sheetId="2" r:id="rId2"/>
    <sheet name="Initial table with stocks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O23" i="1"/>
  <c r="N23" i="1"/>
  <c r="M19" i="1"/>
  <c r="M20" i="1"/>
  <c r="M21" i="1"/>
  <c r="M22" i="1"/>
  <c r="M23" i="1"/>
  <c r="M24" i="1"/>
  <c r="M25" i="1"/>
  <c r="M26" i="1"/>
  <c r="M27" i="1"/>
  <c r="M28" i="1"/>
  <c r="L19" i="1"/>
  <c r="L20" i="1"/>
  <c r="L21" i="1"/>
  <c r="L22" i="1"/>
  <c r="L23" i="1"/>
  <c r="L24" i="1"/>
  <c r="L25" i="1"/>
  <c r="L26" i="1"/>
  <c r="L27" i="1"/>
  <c r="L28" i="1"/>
  <c r="K19" i="1"/>
  <c r="K20" i="1"/>
  <c r="K21" i="1"/>
  <c r="K22" i="1"/>
  <c r="K23" i="1"/>
  <c r="K24" i="1"/>
  <c r="K25" i="1"/>
  <c r="K26" i="1"/>
  <c r="K27" i="1"/>
  <c r="K28" i="1"/>
  <c r="J19" i="1"/>
  <c r="J20" i="1"/>
  <c r="J21" i="1"/>
  <c r="J22" i="1"/>
  <c r="J23" i="1"/>
  <c r="J24" i="1"/>
  <c r="J25" i="1"/>
  <c r="J26" i="1"/>
  <c r="J27" i="1"/>
  <c r="J28" i="1"/>
  <c r="I28" i="1"/>
  <c r="I19" i="1"/>
  <c r="I20" i="1"/>
  <c r="I21" i="1"/>
  <c r="I22" i="1"/>
  <c r="I23" i="1"/>
  <c r="I24" i="1"/>
  <c r="O24" i="1" s="1"/>
  <c r="I25" i="1"/>
  <c r="I26" i="1"/>
  <c r="I27" i="1"/>
  <c r="H19" i="1"/>
  <c r="O19" i="1" s="1"/>
  <c r="H20" i="1"/>
  <c r="H21" i="1"/>
  <c r="O21" i="1" s="1"/>
  <c r="H22" i="1"/>
  <c r="H23" i="1"/>
  <c r="H24" i="1"/>
  <c r="H25" i="1"/>
  <c r="H26" i="1"/>
  <c r="H27" i="1"/>
  <c r="H28" i="1"/>
  <c r="G19" i="1"/>
  <c r="G32" i="1" s="1"/>
  <c r="G20" i="1"/>
  <c r="G21" i="1"/>
  <c r="G22" i="1"/>
  <c r="G23" i="1"/>
  <c r="G24" i="1"/>
  <c r="G25" i="1"/>
  <c r="G26" i="1"/>
  <c r="G27" i="1"/>
  <c r="G28" i="1"/>
  <c r="F19" i="1"/>
  <c r="F20" i="1"/>
  <c r="F21" i="1"/>
  <c r="F22" i="1"/>
  <c r="F23" i="1"/>
  <c r="F24" i="1"/>
  <c r="F25" i="1"/>
  <c r="F26" i="1"/>
  <c r="F27" i="1"/>
  <c r="F28" i="1"/>
  <c r="E19" i="1"/>
  <c r="E20" i="1"/>
  <c r="E21" i="1"/>
  <c r="E22" i="1"/>
  <c r="E23" i="1"/>
  <c r="E24" i="1"/>
  <c r="E25" i="1"/>
  <c r="E26" i="1"/>
  <c r="E27" i="1"/>
  <c r="E28" i="1"/>
  <c r="D19" i="1"/>
  <c r="D20" i="1"/>
  <c r="D21" i="1"/>
  <c r="D22" i="1"/>
  <c r="D23" i="1"/>
  <c r="D24" i="1"/>
  <c r="D25" i="1"/>
  <c r="D26" i="1"/>
  <c r="D27" i="1"/>
  <c r="D28" i="1"/>
  <c r="C19" i="1"/>
  <c r="C20" i="1"/>
  <c r="C21" i="1"/>
  <c r="C22" i="1"/>
  <c r="C23" i="1"/>
  <c r="C24" i="1"/>
  <c r="C25" i="1"/>
  <c r="C26" i="1"/>
  <c r="C27" i="1"/>
  <c r="C28" i="1"/>
  <c r="C18" i="1"/>
  <c r="C30" i="1" s="1"/>
  <c r="D18" i="1"/>
  <c r="E18" i="1"/>
  <c r="F18" i="1"/>
  <c r="G18" i="1"/>
  <c r="H18" i="1"/>
  <c r="I18" i="1"/>
  <c r="J18" i="1"/>
  <c r="K18" i="1"/>
  <c r="L18" i="1"/>
  <c r="L30" i="1" s="1"/>
  <c r="M18" i="1"/>
  <c r="B28" i="1"/>
  <c r="B19" i="1"/>
  <c r="B20" i="1"/>
  <c r="B21" i="1"/>
  <c r="B22" i="1"/>
  <c r="B23" i="1"/>
  <c r="B24" i="1"/>
  <c r="P24" i="1" s="1"/>
  <c r="B25" i="1"/>
  <c r="P25" i="1" s="1"/>
  <c r="B26" i="1"/>
  <c r="B27" i="1"/>
  <c r="P27" i="1" s="1"/>
  <c r="B18" i="1"/>
  <c r="M30" i="1" l="1"/>
  <c r="J33" i="1"/>
  <c r="K33" i="1"/>
  <c r="L31" i="1"/>
  <c r="O28" i="1"/>
  <c r="I30" i="1"/>
  <c r="P26" i="1"/>
  <c r="K30" i="1"/>
  <c r="O27" i="1"/>
  <c r="J30" i="1"/>
  <c r="O26" i="1"/>
  <c r="O25" i="1"/>
  <c r="G33" i="1"/>
  <c r="N20" i="1"/>
  <c r="F33" i="1"/>
  <c r="N22" i="1"/>
  <c r="D33" i="1"/>
  <c r="O22" i="1"/>
  <c r="K31" i="1"/>
  <c r="L32" i="1"/>
  <c r="M32" i="1"/>
  <c r="M33" i="1"/>
  <c r="N19" i="1"/>
  <c r="E31" i="1"/>
  <c r="C33" i="1"/>
  <c r="G30" i="1"/>
  <c r="K32" i="1"/>
  <c r="B33" i="1"/>
  <c r="P28" i="1"/>
  <c r="D32" i="1"/>
  <c r="O20" i="1"/>
  <c r="I32" i="1"/>
  <c r="J32" i="1"/>
  <c r="L33" i="1"/>
  <c r="P22" i="1"/>
  <c r="J31" i="1"/>
  <c r="I31" i="1"/>
  <c r="O18" i="1"/>
  <c r="P20" i="1"/>
  <c r="D30" i="1"/>
  <c r="H32" i="1"/>
  <c r="P18" i="1"/>
  <c r="P19" i="1"/>
  <c r="I33" i="1"/>
  <c r="M31" i="1"/>
  <c r="C31" i="1"/>
  <c r="C32" i="1"/>
  <c r="E33" i="1"/>
  <c r="N24" i="1"/>
  <c r="P21" i="1"/>
  <c r="H30" i="1"/>
  <c r="F30" i="1"/>
  <c r="N21" i="1"/>
  <c r="H31" i="1"/>
  <c r="G31" i="1"/>
  <c r="N28" i="1"/>
  <c r="B31" i="1"/>
  <c r="F31" i="1"/>
  <c r="F32" i="1"/>
  <c r="H33" i="1"/>
  <c r="N27" i="1"/>
  <c r="E32" i="1"/>
  <c r="N18" i="1"/>
  <c r="E30" i="1"/>
  <c r="B30" i="1"/>
  <c r="B32" i="1"/>
  <c r="N26" i="1"/>
  <c r="D31" i="1"/>
  <c r="N25" i="1"/>
  <c r="N30" i="1" l="1"/>
  <c r="N33" i="1"/>
  <c r="N32" i="1"/>
  <c r="N31" i="1"/>
  <c r="P31" i="1"/>
  <c r="P30" i="1"/>
  <c r="P33" i="1"/>
  <c r="P32" i="1"/>
  <c r="O30" i="1"/>
  <c r="O33" i="1"/>
  <c r="O32" i="1"/>
  <c r="O31" i="1"/>
</calcChain>
</file>

<file path=xl/sharedStrings.xml><?xml version="1.0" encoding="utf-8"?>
<sst xmlns="http://schemas.openxmlformats.org/spreadsheetml/2006/main" count="82" uniqueCount="29">
  <si>
    <t>Date</t>
  </si>
  <si>
    <t>AAPL</t>
  </si>
  <si>
    <t>NVDA</t>
  </si>
  <si>
    <t>GOOG</t>
  </si>
  <si>
    <t>MSFT</t>
  </si>
  <si>
    <t>META</t>
  </si>
  <si>
    <t>ORCL</t>
  </si>
  <si>
    <t>LMT</t>
  </si>
  <si>
    <t>RTX</t>
  </si>
  <si>
    <t>NOC</t>
  </si>
  <si>
    <t>GD</t>
  </si>
  <si>
    <t>LHX</t>
  </si>
  <si>
    <t>TXT</t>
  </si>
  <si>
    <t xml:space="preserve">Monthly returns </t>
  </si>
  <si>
    <t>-</t>
  </si>
  <si>
    <t>Mean Monthly Return</t>
  </si>
  <si>
    <t xml:space="preserve">Monthly Standard Deviation </t>
  </si>
  <si>
    <t>Technology Portfolio</t>
  </si>
  <si>
    <t>Defense Portfolio</t>
  </si>
  <si>
    <t>Overall Portfolio</t>
  </si>
  <si>
    <t>Annualized Standard Deviation</t>
  </si>
  <si>
    <t>Portfolio Type</t>
  </si>
  <si>
    <t xml:space="preserve">Technology </t>
  </si>
  <si>
    <t xml:space="preserve">Defense </t>
  </si>
  <si>
    <t xml:space="preserve">Overall </t>
  </si>
  <si>
    <t>Annualized Mean Return</t>
  </si>
  <si>
    <t>Technology</t>
  </si>
  <si>
    <t>Defense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</si>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</sst>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%"/>
    <numFmt numFmtId="165" formatCode="0.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7A6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14" fontId="0" fillId="2" borderId="1" xfId="0" applyNumberFormat="1" applyFill="1" applyBorder="1"/>
    <xf numFmtId="8" fontId="0" fillId="2" borderId="0" xfId="0" applyNumberFormat="1" applyFill="1"/>
    <xf numFmtId="8" fontId="0" fillId="2" borderId="2" xfId="0" applyNumberFormat="1" applyFill="1" applyBorder="1"/>
    <xf numFmtId="14" fontId="0" fillId="2" borderId="3" xfId="0" applyNumberFormat="1" applyFill="1" applyBorder="1"/>
    <xf numFmtId="8" fontId="0" fillId="2" borderId="4" xfId="0" applyNumberFormat="1" applyFill="1" applyBorder="1"/>
    <xf numFmtId="8" fontId="0" fillId="2" borderId="5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" fontId="0" fillId="0" borderId="0" xfId="0" applyNumberFormat="1"/>
    <xf numFmtId="9" fontId="0" fillId="0" borderId="0" xfId="1" applyFont="1"/>
    <xf numFmtId="10" fontId="0" fillId="3" borderId="0" xfId="1" applyNumberFormat="1" applyFont="1" applyFill="1" applyBorder="1"/>
    <xf numFmtId="10" fontId="0" fillId="4" borderId="11" xfId="1" applyNumberFormat="1" applyFont="1" applyFill="1" applyBorder="1"/>
    <xf numFmtId="10" fontId="0" fillId="4" borderId="12" xfId="1" applyNumberFormat="1" applyFont="1" applyFill="1" applyBorder="1"/>
    <xf numFmtId="0" fontId="0" fillId="4" borderId="10" xfId="0" applyFill="1" applyBorder="1"/>
    <xf numFmtId="0" fontId="0" fillId="5" borderId="10" xfId="0" applyFill="1" applyBorder="1"/>
    <xf numFmtId="0" fontId="0" fillId="6" borderId="10" xfId="0" applyFill="1" applyBorder="1"/>
    <xf numFmtId="0" fontId="0" fillId="7" borderId="10" xfId="0" applyFill="1" applyBorder="1"/>
    <xf numFmtId="165" fontId="0" fillId="5" borderId="11" xfId="0" applyNumberFormat="1" applyFill="1" applyBorder="1"/>
    <xf numFmtId="165" fontId="0" fillId="5" borderId="12" xfId="0" applyNumberFormat="1" applyFill="1" applyBorder="1"/>
    <xf numFmtId="165" fontId="0" fillId="6" borderId="11" xfId="0" applyNumberFormat="1" applyFill="1" applyBorder="1"/>
    <xf numFmtId="165" fontId="0" fillId="6" borderId="12" xfId="0" applyNumberFormat="1" applyFill="1" applyBorder="1"/>
    <xf numFmtId="165" fontId="0" fillId="7" borderId="11" xfId="0" applyNumberFormat="1" applyFill="1" applyBorder="1"/>
    <xf numFmtId="165" fontId="0" fillId="7" borderId="12" xfId="0" applyNumberFormat="1" applyFill="1" applyBorder="1"/>
    <xf numFmtId="0" fontId="0" fillId="8" borderId="7" xfId="0" applyFill="1" applyBorder="1"/>
    <xf numFmtId="0" fontId="2" fillId="8" borderId="7" xfId="0" applyFont="1" applyFill="1" applyBorder="1"/>
    <xf numFmtId="0" fontId="0" fillId="8" borderId="9" xfId="0" applyFill="1" applyBorder="1"/>
    <xf numFmtId="0" fontId="2" fillId="8" borderId="9" xfId="0" applyFont="1" applyFill="1" applyBorder="1"/>
    <xf numFmtId="0" fontId="0" fillId="9" borderId="0" xfId="0" applyFill="1"/>
    <xf numFmtId="8" fontId="0" fillId="2" borderId="13" xfId="0" applyNumberFormat="1" applyFill="1" applyBorder="1"/>
    <xf numFmtId="8" fontId="0" fillId="2" borderId="14" xfId="0" applyNumberFormat="1" applyFill="1" applyBorder="1"/>
    <xf numFmtId="10" fontId="0" fillId="3" borderId="13" xfId="1" applyNumberFormat="1" applyFont="1" applyFill="1" applyBorder="1"/>
    <xf numFmtId="0" fontId="0" fillId="3" borderId="15" xfId="0" applyFill="1" applyBorder="1"/>
    <xf numFmtId="0" fontId="0" fillId="8" borderId="0" xfId="0" applyFill="1"/>
    <xf numFmtId="17" fontId="0" fillId="3" borderId="1" xfId="0" applyNumberFormat="1" applyFill="1" applyBorder="1"/>
    <xf numFmtId="0" fontId="0" fillId="3" borderId="0" xfId="0" applyFill="1"/>
    <xf numFmtId="0" fontId="0" fillId="3" borderId="2" xfId="0" applyFill="1" applyBorder="1"/>
    <xf numFmtId="10" fontId="0" fillId="3" borderId="2" xfId="1" applyNumberFormat="1" applyFont="1" applyFill="1" applyBorder="1"/>
    <xf numFmtId="17" fontId="0" fillId="3" borderId="3" xfId="0" applyNumberFormat="1" applyFill="1" applyBorder="1"/>
    <xf numFmtId="10" fontId="0" fillId="3" borderId="4" xfId="1" applyNumberFormat="1" applyFont="1" applyFill="1" applyBorder="1"/>
    <xf numFmtId="10" fontId="0" fillId="3" borderId="14" xfId="1" applyNumberFormat="1" applyFont="1" applyFill="1" applyBorder="1"/>
    <xf numFmtId="10" fontId="0" fillId="3" borderId="5" xfId="1" applyNumberFormat="1" applyFont="1" applyFill="1" applyBorder="1"/>
    <xf numFmtId="0" fontId="0" fillId="0" borderId="16" xfId="0" applyBorder="1"/>
    <xf numFmtId="164" fontId="0" fillId="10" borderId="0" xfId="0" applyNumberFormat="1" applyFill="1"/>
    <xf numFmtId="0" fontId="4" fillId="12" borderId="19" xfId="0" applyFont="1" applyFill="1" applyBorder="1"/>
    <xf numFmtId="0" fontId="4" fillId="14" borderId="19" xfId="0" applyFont="1" applyFill="1" applyBorder="1"/>
    <xf numFmtId="0" fontId="4" fillId="5" borderId="10" xfId="0" applyFont="1" applyFill="1" applyBorder="1"/>
    <xf numFmtId="0" fontId="4" fillId="11" borderId="22" xfId="0" applyFont="1" applyFill="1" applyBorder="1"/>
    <xf numFmtId="0" fontId="4" fillId="11" borderId="18" xfId="0" applyFont="1" applyFill="1" applyBorder="1"/>
    <xf numFmtId="165" fontId="4" fillId="13" borderId="17" xfId="0" applyNumberFormat="1" applyFont="1" applyFill="1" applyBorder="1"/>
    <xf numFmtId="165" fontId="4" fillId="13" borderId="21" xfId="0" applyNumberFormat="1" applyFont="1" applyFill="1" applyBorder="1"/>
    <xf numFmtId="165" fontId="4" fillId="13" borderId="18" xfId="0" applyNumberFormat="1" applyFont="1" applyFill="1" applyBorder="1"/>
    <xf numFmtId="165" fontId="4" fillId="14" borderId="19" xfId="0" applyNumberFormat="1" applyFont="1" applyFill="1" applyBorder="1"/>
    <xf numFmtId="165" fontId="4" fillId="14" borderId="4" xfId="0" applyNumberFormat="1" applyFont="1" applyFill="1" applyBorder="1"/>
    <xf numFmtId="165" fontId="4" fillId="14" borderId="5" xfId="0" applyNumberFormat="1" applyFont="1" applyFill="1" applyBorder="1"/>
    <xf numFmtId="165" fontId="0" fillId="4" borderId="11" xfId="1" applyNumberFormat="1" applyFont="1" applyFill="1" applyBorder="1"/>
    <xf numFmtId="165" fontId="0" fillId="4" borderId="12" xfId="1" applyNumberFormat="1" applyFont="1" applyFill="1" applyBorder="1"/>
    <xf numFmtId="0" fontId="0" fillId="5" borderId="0" xfId="0" applyFill="1"/>
    <xf numFmtId="0" fontId="0" fillId="15" borderId="7" xfId="0" applyFill="1" applyBorder="1"/>
    <xf numFmtId="0" fontId="0" fillId="15" borderId="20" xfId="0" applyFill="1" applyBorder="1"/>
    <xf numFmtId="0" fontId="0" fillId="15" borderId="8" xfId="0" applyFill="1" applyBorder="1"/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5" borderId="17" xfId="0" applyFill="1" applyBorder="1"/>
    <xf numFmtId="0" fontId="0" fillId="4" borderId="27" xfId="0" applyFill="1" applyBorder="1"/>
    <xf numFmtId="0" fontId="0" fillId="7" borderId="27" xfId="0" applyFill="1" applyBorder="1"/>
    <xf numFmtId="165" fontId="0" fillId="4" borderId="27" xfId="1" applyNumberFormat="1" applyFont="1" applyFill="1" applyBorder="1"/>
    <xf numFmtId="165" fontId="0" fillId="7" borderId="27" xfId="0" applyNumberFormat="1" applyFill="1" applyBorder="1"/>
    <xf numFmtId="0" fontId="0" fillId="15" borderId="29" xfId="0" applyFill="1" applyBorder="1"/>
    <xf numFmtId="0" fontId="0" fillId="15" borderId="23" xfId="0" applyFill="1" applyBorder="1"/>
    <xf numFmtId="0" fontId="2" fillId="15" borderId="23" xfId="0" applyFont="1" applyFill="1" applyBorder="1"/>
    <xf numFmtId="0" fontId="2" fillId="15" borderId="30" xfId="0" applyFont="1" applyFill="1" applyBorder="1"/>
    <xf numFmtId="0" fontId="0" fillId="15" borderId="28" xfId="0" applyFill="1" applyBorder="1"/>
    <xf numFmtId="0" fontId="2" fillId="0" borderId="0" xfId="0" applyFont="1"/>
    <xf numFmtId="14" fontId="0" fillId="2" borderId="0" xfId="0" applyNumberFormat="1" applyFill="1"/>
    <xf numFmtId="14" fontId="0" fillId="0" borderId="0" xfId="0" applyNumberFormat="1"/>
    <xf numFmtId="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4E43"/>
      <color rgb="FFFD7A69"/>
      <color rgb="FFFF584F"/>
      <color rgb="FFFF5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Risk-Return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53243158032234"/>
          <c:y val="0.14247608553866831"/>
          <c:w val="0.87423277078721895"/>
          <c:h val="0.6689475166511849"/>
        </c:manualLayout>
      </c:layout>
      <c:scatterChart>
        <c:scatterStyle val="lineMarker"/>
        <c:varyColors val="0"/>
        <c:ser>
          <c:idx val="0"/>
          <c:order val="0"/>
          <c:tx>
            <c:v>Stock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7631825-05F9-5446-8393-68005E737CE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7C388E5-BC97-3245-89CD-64986DF7B0B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872-CF42-B9D6-1978218C77E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0FA830-94ED-D249-95F7-EB204A45749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B05855C-7E85-1849-B97B-4E5E72CC5B6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72-CF42-B9D6-1978218C77E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0637FF-CABD-A641-B6CF-572DDEFE76A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DA1C87D-89AA-3D45-8FB6-61A9F3DC8DA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72-CF42-B9D6-1978218C77E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3EB606-B7EF-AA47-B75D-8C12898A818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1C39B40-1CB4-2240-9EFC-70277CF9374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872-CF42-B9D6-1978218C77E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D92DD3-D05A-C54F-BCCC-D462F02E449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FA7C417-876F-E348-A5F0-A6B01594387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872-CF42-B9D6-1978218C77E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6065D8-E953-874B-BBFC-797B8529198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71D4883-A0F4-FC45-8872-831A14126E5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72-CF42-B9D6-1978218C77E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5397645-2CFA-EE48-A376-649D5EEF3E6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32C2DA2-52F9-D640-A13D-C74F01E16FC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72-CF42-B9D6-1978218C77E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17ECBA5-D871-7348-98E2-873C5F5E6D0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E4CA6F6-F334-A74C-A1D8-E544C9C76F2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72-CF42-B9D6-1978218C77E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DD447D0-74BC-D64B-AC61-99C30BD918C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C0FC873-7820-064D-AF4D-4963D307E23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72-CF42-B9D6-1978218C77E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6743290-8A40-8143-A300-4F4D8B80FE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1A60789-8E62-3E40-8D4D-6E1B064B01E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872-CF42-B9D6-1978218C77E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5724003-36B5-4045-852A-5781A3AB244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FBF9170-B2F1-1B4C-9140-3270C3E4251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72-CF42-B9D6-1978218C77E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6AD63A3-92DF-8E4D-B5E0-164AFE9FA51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C11AFC9-FEC7-9442-80FE-56DBFB0EE96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72-CF42-B9D6-1978218C77E4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Calculations'!$B$33:$M$33</c:f>
              <c:numCache>
                <c:formatCode>0.0000</c:formatCode>
                <c:ptCount val="12"/>
                <c:pt idx="0">
                  <c:v>0.23643252628679953</c:v>
                </c:pt>
                <c:pt idx="1">
                  <c:v>0.34485598459107097</c:v>
                </c:pt>
                <c:pt idx="2">
                  <c:v>0.23082980238557047</c:v>
                </c:pt>
                <c:pt idx="3">
                  <c:v>0.2329957553720596</c:v>
                </c:pt>
                <c:pt idx="4">
                  <c:v>0.28630263483806923</c:v>
                </c:pt>
                <c:pt idx="5">
                  <c:v>0.62718519675115392</c:v>
                </c:pt>
                <c:pt idx="6">
                  <c:v>0.38201592347194135</c:v>
                </c:pt>
                <c:pt idx="7">
                  <c:v>0.18759943013681502</c:v>
                </c:pt>
                <c:pt idx="8">
                  <c:v>0.27654311758276562</c:v>
                </c:pt>
                <c:pt idx="9">
                  <c:v>0.11689049766017055</c:v>
                </c:pt>
                <c:pt idx="10">
                  <c:v>0.223783492689408</c:v>
                </c:pt>
                <c:pt idx="11">
                  <c:v>0.18022706506797029</c:v>
                </c:pt>
              </c:numCache>
            </c:numRef>
          </c:xVal>
          <c:yVal>
            <c:numRef>
              <c:f>'Stocks and Calculations'!$B$32:$M$32</c:f>
              <c:numCache>
                <c:formatCode>0.0000</c:formatCode>
                <c:ptCount val="12"/>
                <c:pt idx="0">
                  <c:v>0.16286047136104612</c:v>
                </c:pt>
                <c:pt idx="1">
                  <c:v>0.5950503347854168</c:v>
                </c:pt>
                <c:pt idx="2">
                  <c:v>0.82936575384213973</c:v>
                </c:pt>
                <c:pt idx="3">
                  <c:v>0.11871556397207153</c:v>
                </c:pt>
                <c:pt idx="4">
                  <c:v>0.11918633298149439</c:v>
                </c:pt>
                <c:pt idx="5">
                  <c:v>0.15775180263680633</c:v>
                </c:pt>
                <c:pt idx="6">
                  <c:v>0.43992131252322764</c:v>
                </c:pt>
                <c:pt idx="7">
                  <c:v>0.4681853243520383</c:v>
                </c:pt>
                <c:pt idx="8">
                  <c:v>0.44276224857385504</c:v>
                </c:pt>
                <c:pt idx="9">
                  <c:v>0.34906825701274502</c:v>
                </c:pt>
                <c:pt idx="10">
                  <c:v>0.5727609605604379</c:v>
                </c:pt>
                <c:pt idx="11">
                  <c:v>0.19920783059418218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'Stocks and Calculations'!$B$16:$M$16</c15:f>
                <c15:dlblRangeCache>
                  <c:ptCount val="12"/>
                  <c:pt idx="0">
                    <c:v>AAPL</c:v>
                  </c:pt>
                  <c:pt idx="1">
                    <c:v>NVDA</c:v>
                  </c:pt>
                  <c:pt idx="2">
                    <c:v>GOOG</c:v>
                  </c:pt>
                  <c:pt idx="3">
                    <c:v>MSFT</c:v>
                  </c:pt>
                  <c:pt idx="4">
                    <c:v>META</c:v>
                  </c:pt>
                  <c:pt idx="5">
                    <c:v>ORCL</c:v>
                  </c:pt>
                  <c:pt idx="6">
                    <c:v>LMT</c:v>
                  </c:pt>
                  <c:pt idx="7">
                    <c:v>RTX</c:v>
                  </c:pt>
                  <c:pt idx="8">
                    <c:v>NOC</c:v>
                  </c:pt>
                  <c:pt idx="9">
                    <c:v>GD</c:v>
                  </c:pt>
                  <c:pt idx="10">
                    <c:v>LHX</c:v>
                  </c:pt>
                  <c:pt idx="11">
                    <c:v>TXT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872-CF42-B9D6-1978218C77E4}"/>
            </c:ext>
          </c:extLst>
        </c:ser>
        <c:ser>
          <c:idx val="1"/>
          <c:order val="1"/>
          <c:tx>
            <c:strRef>
              <c:f>'Stocks and Calculations'!$N$16</c:f>
              <c:strCache>
                <c:ptCount val="1"/>
                <c:pt idx="0">
                  <c:v>Technology 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68608-752B-DA45-B5B2-BF09EDB2A136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DF9B8AAA-6F9C-5942-99D2-444F1B916ED6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872-CF42-B9D6-1978218C7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Calculations'!$N$33</c:f>
              <c:numCache>
                <c:formatCode>0.0000</c:formatCode>
                <c:ptCount val="1"/>
                <c:pt idx="0">
                  <c:v>0.21255476626700162</c:v>
                </c:pt>
              </c:numCache>
            </c:numRef>
          </c:xVal>
          <c:yVal>
            <c:numRef>
              <c:f>'Stocks and Calculations'!$N$32</c:f>
              <c:numCache>
                <c:formatCode>0.0000</c:formatCode>
                <c:ptCount val="1"/>
                <c:pt idx="0">
                  <c:v>0.33048837659649583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'Stocks and Calculations'!$N$16</c15:f>
                <c15:dlblRangeCache>
                  <c:ptCount val="1"/>
                  <c:pt idx="0">
                    <c:v>Technology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2872-CF42-B9D6-1978218C77E4}"/>
            </c:ext>
          </c:extLst>
        </c:ser>
        <c:ser>
          <c:idx val="2"/>
          <c:order val="2"/>
          <c:tx>
            <c:strRef>
              <c:f>'Stocks and Calculations'!$O$16</c:f>
              <c:strCache>
                <c:ptCount val="1"/>
                <c:pt idx="0">
                  <c:v>Defense 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872-CF42-B9D6-1978218C7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Calculations'!$O$33</c:f>
              <c:numCache>
                <c:formatCode>0.0000</c:formatCode>
                <c:ptCount val="1"/>
                <c:pt idx="0">
                  <c:v>0.15624301237413779</c:v>
                </c:pt>
              </c:numCache>
            </c:numRef>
          </c:xVal>
          <c:yVal>
            <c:numRef>
              <c:f>'Stocks and Calculations'!$O$32</c:f>
              <c:numCache>
                <c:formatCode>0.0000</c:formatCode>
                <c:ptCount val="1"/>
                <c:pt idx="0">
                  <c:v>0.41198432226941428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72-CF42-B9D6-1978218C77E4}"/>
            </c:ext>
          </c:extLst>
        </c:ser>
        <c:ser>
          <c:idx val="3"/>
          <c:order val="3"/>
          <c:tx>
            <c:strRef>
              <c:f>'Stocks and Calculations'!$P$16</c:f>
              <c:strCache>
                <c:ptCount val="1"/>
                <c:pt idx="0">
                  <c:v>Overall 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Calculations'!$P$33</c:f>
              <c:numCache>
                <c:formatCode>0.0000</c:formatCode>
                <c:ptCount val="1"/>
                <c:pt idx="0">
                  <c:v>0.14591348772977128</c:v>
                </c:pt>
              </c:numCache>
            </c:numRef>
          </c:xVal>
          <c:yVal>
            <c:numRef>
              <c:f>'Stocks and Calculations'!$P$32</c:f>
              <c:numCache>
                <c:formatCode>0.0000</c:formatCode>
                <c:ptCount val="1"/>
                <c:pt idx="0">
                  <c:v>0.37123634943295519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72-CF42-B9D6-1978218C77E4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275258047"/>
        <c:axId val="1275261183"/>
      </c:scatterChart>
      <c:valAx>
        <c:axId val="127525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Annualized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61183"/>
        <c:crosses val="autoZero"/>
        <c:crossBetween val="midCat"/>
      </c:valAx>
      <c:valAx>
        <c:axId val="12752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Annualized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58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6</xdr:row>
      <xdr:rowOff>26571</xdr:rowOff>
    </xdr:from>
    <xdr:to>
      <xdr:col>13</xdr:col>
      <xdr:colOff>834306</xdr:colOff>
      <xdr:row>27</xdr:row>
      <xdr:rowOff>157590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598F8-4E28-A941-82B2-9047D6B1C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B128-F4CF-4B45-9356-7FFD382471C1}">
  <dimension ref="A1:P33"/>
  <sheetViews>
    <sheetView tabSelected="1" workbookViewId="0">
      <selection activeCell="N1" sqref="N1"/>
    </sheetView>
  </sheetViews>
  <sheetFormatPr baseColWidth="10" defaultRowHeight="16" x14ac:dyDescent="0.2"/>
  <cols>
    <col min="1" max="1" width="26.1640625" bestFit="1" customWidth="1"/>
    <col min="14" max="14" width="17.5" bestFit="1" customWidth="1"/>
    <col min="15" max="15" width="15.1640625" bestFit="1" customWidth="1"/>
    <col min="16" max="16" width="14.1640625" bestFit="1" customWidth="1"/>
  </cols>
  <sheetData>
    <row r="1" spans="1:16" x14ac:dyDescent="0.2">
      <c r="A1" s="7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spans="1:16" x14ac:dyDescent="0.2">
      <c r="A2" s="1">
        <v>45719</v>
      </c>
      <c r="B2" s="2">
        <v>238.03</v>
      </c>
      <c r="C2" s="2">
        <v>114.06</v>
      </c>
      <c r="D2" s="2">
        <v>168.66</v>
      </c>
      <c r="E2" s="2">
        <v>388.49</v>
      </c>
      <c r="F2" s="2">
        <v>655.04999999999995</v>
      </c>
      <c r="G2" s="31">
        <v>162.02000000000001</v>
      </c>
      <c r="H2" s="2">
        <v>451.94</v>
      </c>
      <c r="I2" s="2">
        <v>133.83000000000001</v>
      </c>
      <c r="J2" s="2">
        <v>473.41</v>
      </c>
      <c r="K2" s="2">
        <v>254.04</v>
      </c>
      <c r="L2" s="2">
        <v>207.7</v>
      </c>
      <c r="M2" s="3">
        <v>74.02</v>
      </c>
    </row>
    <row r="3" spans="1:16" x14ac:dyDescent="0.2">
      <c r="A3" s="1">
        <v>45748</v>
      </c>
      <c r="B3" s="2">
        <v>223.19</v>
      </c>
      <c r="C3" s="2">
        <v>110.15</v>
      </c>
      <c r="D3" s="2">
        <v>158.88</v>
      </c>
      <c r="E3" s="2">
        <v>382.19</v>
      </c>
      <c r="F3" s="2">
        <v>586</v>
      </c>
      <c r="G3" s="31">
        <v>141.94</v>
      </c>
      <c r="H3" s="2">
        <v>448.64</v>
      </c>
      <c r="I3" s="2">
        <v>132.85</v>
      </c>
      <c r="J3" s="2">
        <v>513.1</v>
      </c>
      <c r="K3" s="2">
        <v>274.14</v>
      </c>
      <c r="L3" s="2">
        <v>209.75</v>
      </c>
      <c r="M3" s="3">
        <v>72.16</v>
      </c>
    </row>
    <row r="4" spans="1:16" x14ac:dyDescent="0.2">
      <c r="A4" s="1">
        <v>45778</v>
      </c>
      <c r="B4" s="2">
        <v>213.32</v>
      </c>
      <c r="C4" s="2">
        <v>111.61</v>
      </c>
      <c r="D4" s="2">
        <v>162.79</v>
      </c>
      <c r="E4" s="2">
        <v>425.4</v>
      </c>
      <c r="F4" s="2">
        <v>572.21</v>
      </c>
      <c r="G4" s="31">
        <v>145.49</v>
      </c>
      <c r="H4" s="2">
        <v>477.72</v>
      </c>
      <c r="I4" s="2">
        <v>127.41</v>
      </c>
      <c r="J4" s="2">
        <v>486.67</v>
      </c>
      <c r="K4" s="2">
        <v>271.51</v>
      </c>
      <c r="L4" s="2">
        <v>219.91</v>
      </c>
      <c r="M4" s="3">
        <v>70.27</v>
      </c>
    </row>
    <row r="5" spans="1:16" x14ac:dyDescent="0.2">
      <c r="A5" s="1">
        <v>45810</v>
      </c>
      <c r="B5" s="2">
        <v>201.7</v>
      </c>
      <c r="C5" s="2">
        <v>137.38</v>
      </c>
      <c r="D5" s="2">
        <v>170.37</v>
      </c>
      <c r="E5" s="2">
        <v>461.97</v>
      </c>
      <c r="F5" s="2">
        <v>670.9</v>
      </c>
      <c r="G5" s="31">
        <v>166.57</v>
      </c>
      <c r="H5" s="2">
        <v>478.82</v>
      </c>
      <c r="I5" s="2">
        <v>137.46</v>
      </c>
      <c r="J5" s="2">
        <v>483.38</v>
      </c>
      <c r="K5" s="2">
        <v>275.70999999999998</v>
      </c>
      <c r="L5" s="2">
        <v>243.16</v>
      </c>
      <c r="M5" s="3">
        <v>73.53</v>
      </c>
    </row>
    <row r="6" spans="1:16" x14ac:dyDescent="0.2">
      <c r="A6" s="1">
        <v>45839</v>
      </c>
      <c r="B6" s="2">
        <v>207.82</v>
      </c>
      <c r="C6" s="2">
        <v>153.30000000000001</v>
      </c>
      <c r="D6" s="2">
        <v>176.91</v>
      </c>
      <c r="E6" s="2">
        <v>492.05</v>
      </c>
      <c r="F6" s="2">
        <v>719.22</v>
      </c>
      <c r="G6" s="31">
        <v>218.96</v>
      </c>
      <c r="H6" s="2">
        <v>465.94</v>
      </c>
      <c r="I6" s="2">
        <v>144.19</v>
      </c>
      <c r="J6" s="2">
        <v>503.53</v>
      </c>
      <c r="K6" s="2">
        <v>294.38</v>
      </c>
      <c r="L6" s="2">
        <v>252.18</v>
      </c>
      <c r="M6" s="3">
        <v>80.98</v>
      </c>
    </row>
    <row r="7" spans="1:16" x14ac:dyDescent="0.2">
      <c r="A7" s="1">
        <v>45870</v>
      </c>
      <c r="B7" s="2">
        <v>202.38</v>
      </c>
      <c r="C7" s="2">
        <v>173.72</v>
      </c>
      <c r="D7" s="2">
        <v>189.95</v>
      </c>
      <c r="E7" s="2">
        <v>524.11</v>
      </c>
      <c r="F7" s="2">
        <v>750.01</v>
      </c>
      <c r="G7" s="31">
        <v>244.42</v>
      </c>
      <c r="H7" s="2">
        <v>421.01</v>
      </c>
      <c r="I7" s="2">
        <v>156.81</v>
      </c>
      <c r="J7" s="2">
        <v>586.44000000000005</v>
      </c>
      <c r="K7" s="2">
        <v>310.74</v>
      </c>
      <c r="L7" s="2">
        <v>278.26</v>
      </c>
      <c r="M7" s="3">
        <v>77.23</v>
      </c>
    </row>
    <row r="8" spans="1:16" x14ac:dyDescent="0.2">
      <c r="A8" s="1">
        <v>45902</v>
      </c>
      <c r="B8" s="2">
        <v>229.72</v>
      </c>
      <c r="C8" s="2">
        <v>170.78</v>
      </c>
      <c r="D8" s="2">
        <v>211.99</v>
      </c>
      <c r="E8" s="2">
        <v>505.12</v>
      </c>
      <c r="F8" s="2">
        <v>735.11</v>
      </c>
      <c r="G8" s="31">
        <v>225.3</v>
      </c>
      <c r="H8" s="2">
        <v>452.5</v>
      </c>
      <c r="I8" s="2">
        <v>158.01</v>
      </c>
      <c r="J8" s="2">
        <v>589.32000000000005</v>
      </c>
      <c r="K8" s="2">
        <v>324.39</v>
      </c>
      <c r="L8" s="2">
        <v>275.12</v>
      </c>
      <c r="M8" s="3">
        <v>79.53</v>
      </c>
    </row>
    <row r="9" spans="1:16" x14ac:dyDescent="0.2">
      <c r="A9" s="1">
        <v>45931</v>
      </c>
      <c r="B9" s="2">
        <v>255.45</v>
      </c>
      <c r="C9" s="2">
        <v>187.24</v>
      </c>
      <c r="D9" s="2">
        <v>245.54</v>
      </c>
      <c r="E9" s="2">
        <v>519.71</v>
      </c>
      <c r="F9" s="2">
        <v>717.34</v>
      </c>
      <c r="G9" s="31">
        <v>289.01</v>
      </c>
      <c r="H9" s="2">
        <v>499</v>
      </c>
      <c r="I9" s="2">
        <v>167.2</v>
      </c>
      <c r="J9" s="2">
        <v>605.41999999999996</v>
      </c>
      <c r="K9" s="2">
        <v>340.75</v>
      </c>
      <c r="L9" s="2">
        <v>300.47000000000003</v>
      </c>
      <c r="M9" s="3">
        <v>85.21</v>
      </c>
    </row>
    <row r="10" spans="1:16" x14ac:dyDescent="0.2">
      <c r="A10" s="1">
        <v>45964</v>
      </c>
      <c r="B10" s="2">
        <v>269.05</v>
      </c>
      <c r="C10" s="2">
        <v>206.88</v>
      </c>
      <c r="D10" s="2">
        <v>284.12</v>
      </c>
      <c r="E10" s="2">
        <v>517.03</v>
      </c>
      <c r="F10" s="2">
        <v>637.71</v>
      </c>
      <c r="G10" s="31">
        <v>257.85000000000002</v>
      </c>
      <c r="H10" s="2">
        <v>487.94</v>
      </c>
      <c r="I10" s="2">
        <v>177.04</v>
      </c>
      <c r="J10" s="2">
        <v>575.41</v>
      </c>
      <c r="K10" s="2">
        <v>341.87</v>
      </c>
      <c r="L10" s="2">
        <v>288.58999999999997</v>
      </c>
      <c r="M10" s="3">
        <v>79.98</v>
      </c>
    </row>
    <row r="11" spans="1:16" x14ac:dyDescent="0.2">
      <c r="A11" s="1">
        <v>45992</v>
      </c>
      <c r="B11" s="2">
        <v>283.10000000000002</v>
      </c>
      <c r="C11" s="2">
        <v>179.92</v>
      </c>
      <c r="D11" s="2">
        <v>315.12</v>
      </c>
      <c r="E11" s="2">
        <v>486.74</v>
      </c>
      <c r="F11" s="2">
        <v>640.87</v>
      </c>
      <c r="G11" s="31">
        <v>200.94</v>
      </c>
      <c r="H11" s="2">
        <v>439.19</v>
      </c>
      <c r="I11" s="2">
        <v>168.02</v>
      </c>
      <c r="J11" s="2">
        <v>545.51</v>
      </c>
      <c r="K11" s="2">
        <v>332.38</v>
      </c>
      <c r="L11" s="2">
        <v>272.32</v>
      </c>
      <c r="M11" s="3">
        <v>82</v>
      </c>
    </row>
    <row r="12" spans="1:16" x14ac:dyDescent="0.2">
      <c r="A12" s="1">
        <v>46024</v>
      </c>
      <c r="B12" s="2">
        <v>271.01</v>
      </c>
      <c r="C12" s="2">
        <v>188.85</v>
      </c>
      <c r="D12" s="2">
        <v>315.32</v>
      </c>
      <c r="E12" s="2">
        <v>472.94</v>
      </c>
      <c r="F12" s="2">
        <v>650.41</v>
      </c>
      <c r="G12" s="31">
        <v>195.71</v>
      </c>
      <c r="H12" s="2">
        <v>497.07</v>
      </c>
      <c r="I12" s="2">
        <v>187.25</v>
      </c>
      <c r="J12" s="2">
        <v>585.66</v>
      </c>
      <c r="K12" s="2">
        <v>343.4</v>
      </c>
      <c r="L12" s="2">
        <v>304.48</v>
      </c>
      <c r="M12" s="3">
        <v>87.05</v>
      </c>
    </row>
    <row r="13" spans="1:16" ht="17" thickBot="1" x14ac:dyDescent="0.25">
      <c r="A13" s="4">
        <v>46055</v>
      </c>
      <c r="B13" s="5">
        <v>270.01</v>
      </c>
      <c r="C13" s="5">
        <v>185.61</v>
      </c>
      <c r="D13" s="5">
        <v>344.9</v>
      </c>
      <c r="E13" s="5">
        <v>423.37</v>
      </c>
      <c r="F13" s="5">
        <v>706.41</v>
      </c>
      <c r="G13" s="32">
        <v>160.06</v>
      </c>
      <c r="H13" s="5">
        <v>636</v>
      </c>
      <c r="I13" s="5">
        <v>201.09</v>
      </c>
      <c r="J13" s="5">
        <v>685.02</v>
      </c>
      <c r="K13" s="5">
        <v>346.37</v>
      </c>
      <c r="L13" s="5">
        <v>340.24</v>
      </c>
      <c r="M13" s="6">
        <v>87.56</v>
      </c>
    </row>
    <row r="16" spans="1:16" x14ac:dyDescent="0.2">
      <c r="A16" s="10" t="s">
        <v>13</v>
      </c>
      <c r="B16" s="28" t="s">
        <v>1</v>
      </c>
      <c r="C16" s="28" t="s">
        <v>2</v>
      </c>
      <c r="D16" s="28" t="s">
        <v>3</v>
      </c>
      <c r="E16" s="28" t="s">
        <v>4</v>
      </c>
      <c r="F16" s="29" t="s">
        <v>5</v>
      </c>
      <c r="G16" s="29" t="s">
        <v>6</v>
      </c>
      <c r="H16" s="10" t="s">
        <v>7</v>
      </c>
      <c r="I16" s="10" t="s">
        <v>8</v>
      </c>
      <c r="J16" s="10" t="s">
        <v>9</v>
      </c>
      <c r="K16" s="10" t="s">
        <v>10</v>
      </c>
      <c r="L16" s="44" t="s">
        <v>11</v>
      </c>
      <c r="M16" s="44" t="s">
        <v>12</v>
      </c>
      <c r="N16" s="35" t="s">
        <v>17</v>
      </c>
      <c r="O16" t="s">
        <v>18</v>
      </c>
      <c r="P16" s="30" t="s">
        <v>19</v>
      </c>
    </row>
    <row r="17" spans="1:16" x14ac:dyDescent="0.2">
      <c r="A17" s="36">
        <v>45717</v>
      </c>
      <c r="B17" s="37" t="s">
        <v>14</v>
      </c>
      <c r="C17" s="37" t="s">
        <v>14</v>
      </c>
      <c r="D17" s="37" t="s">
        <v>14</v>
      </c>
      <c r="E17" s="37" t="s">
        <v>14</v>
      </c>
      <c r="F17" s="37" t="s">
        <v>14</v>
      </c>
      <c r="G17" s="34" t="s">
        <v>14</v>
      </c>
      <c r="H17" s="37" t="s">
        <v>14</v>
      </c>
      <c r="I17" s="37" t="s">
        <v>14</v>
      </c>
      <c r="J17" s="37" t="s">
        <v>14</v>
      </c>
      <c r="K17" s="37" t="s">
        <v>14</v>
      </c>
      <c r="L17" s="37" t="s">
        <v>14</v>
      </c>
      <c r="M17" s="38" t="s">
        <v>14</v>
      </c>
    </row>
    <row r="18" spans="1:16" x14ac:dyDescent="0.2">
      <c r="A18" s="36">
        <v>45748</v>
      </c>
      <c r="B18" s="13">
        <f xml:space="preserve"> (B3-B2)/B2</f>
        <v>-6.2345082552619432E-2</v>
      </c>
      <c r="C18" s="13">
        <f xml:space="preserve"> (C3-C2)/C2</f>
        <v>-3.4280203401718362E-2</v>
      </c>
      <c r="D18" s="13">
        <f t="shared" ref="D18:M18" si="0" xml:space="preserve"> (D3-D2)/D2</f>
        <v>-5.7986481679117761E-2</v>
      </c>
      <c r="E18" s="13">
        <f t="shared" si="0"/>
        <v>-1.6216633632783369E-2</v>
      </c>
      <c r="F18" s="13">
        <f t="shared" si="0"/>
        <v>-0.10541180062590635</v>
      </c>
      <c r="G18" s="33">
        <f t="shared" si="0"/>
        <v>-0.12393531662757691</v>
      </c>
      <c r="H18" s="13">
        <f t="shared" si="0"/>
        <v>-7.3018542284374287E-3</v>
      </c>
      <c r="I18" s="13">
        <f t="shared" si="0"/>
        <v>-7.3227228573564829E-3</v>
      </c>
      <c r="J18" s="13">
        <f t="shared" si="0"/>
        <v>8.3838533195327511E-2</v>
      </c>
      <c r="K18" s="13">
        <f t="shared" si="0"/>
        <v>7.9121398205007062E-2</v>
      </c>
      <c r="L18" s="13">
        <f t="shared" si="0"/>
        <v>9.8700048146365509E-3</v>
      </c>
      <c r="M18" s="39">
        <f t="shared" si="0"/>
        <v>-2.5128343690894346E-2</v>
      </c>
      <c r="N18" s="45">
        <f>AVERAGE(B18:G18)</f>
        <v>-6.6695919753287022E-2</v>
      </c>
      <c r="O18" s="45">
        <f>AVERAGE(H18:M18)</f>
        <v>2.2179502573047141E-2</v>
      </c>
      <c r="P18" s="45">
        <f>AVERAGE(B18:M18)</f>
        <v>-2.2258208590119941E-2</v>
      </c>
    </row>
    <row r="19" spans="1:16" x14ac:dyDescent="0.2">
      <c r="A19" s="36">
        <v>45778</v>
      </c>
      <c r="B19" s="13">
        <f t="shared" ref="B19:M28" si="1" xml:space="preserve"> (B4-B3)/B3</f>
        <v>-4.422241139836016E-2</v>
      </c>
      <c r="C19" s="13">
        <f t="shared" si="1"/>
        <v>1.325465274625505E-2</v>
      </c>
      <c r="D19" s="13">
        <f t="shared" si="1"/>
        <v>2.4609768378650532E-2</v>
      </c>
      <c r="E19" s="13">
        <f t="shared" si="1"/>
        <v>0.11305894973704174</v>
      </c>
      <c r="F19" s="13">
        <f t="shared" si="1"/>
        <v>-2.3532423208191065E-2</v>
      </c>
      <c r="G19" s="33">
        <f t="shared" si="1"/>
        <v>2.501056784556863E-2</v>
      </c>
      <c r="H19" s="13">
        <f t="shared" si="1"/>
        <v>6.4818116975749018E-2</v>
      </c>
      <c r="I19" s="13">
        <f t="shared" si="1"/>
        <v>-4.0948438088069236E-2</v>
      </c>
      <c r="J19" s="13">
        <f t="shared" si="1"/>
        <v>-5.1510426817384533E-2</v>
      </c>
      <c r="K19" s="13">
        <f t="shared" si="1"/>
        <v>-9.5936382870066231E-3</v>
      </c>
      <c r="L19" s="13">
        <f t="shared" si="1"/>
        <v>4.8438617401668639E-2</v>
      </c>
      <c r="M19" s="39">
        <f t="shared" si="1"/>
        <v>-2.619179600886919E-2</v>
      </c>
      <c r="N19" s="45">
        <f t="shared" ref="N19:N28" si="2">AVERAGE(B19:G19)</f>
        <v>1.8029850683494119E-2</v>
      </c>
      <c r="O19" s="45">
        <f t="shared" ref="O19:O28" si="3">AVERAGE(H19:M19)</f>
        <v>-2.497927470651987E-3</v>
      </c>
      <c r="P19" s="45">
        <f t="shared" ref="P19:P28" si="4">AVERAGE(B19:M19)</f>
        <v>7.7659616064210645E-3</v>
      </c>
    </row>
    <row r="20" spans="1:16" x14ac:dyDescent="0.2">
      <c r="A20" s="36">
        <v>45809</v>
      </c>
      <c r="B20" s="13">
        <f t="shared" si="1"/>
        <v>-5.4472154509656874E-2</v>
      </c>
      <c r="C20" s="13">
        <f t="shared" si="1"/>
        <v>0.23089328913179819</v>
      </c>
      <c r="D20" s="13">
        <f t="shared" si="1"/>
        <v>4.6563056698814505E-2</v>
      </c>
      <c r="E20" s="13">
        <f t="shared" si="1"/>
        <v>8.5966149506347095E-2</v>
      </c>
      <c r="F20" s="13">
        <f t="shared" si="1"/>
        <v>0.17247164502542761</v>
      </c>
      <c r="G20" s="33">
        <f t="shared" si="1"/>
        <v>0.14488968313973458</v>
      </c>
      <c r="H20" s="13">
        <f t="shared" si="1"/>
        <v>2.3026040358368203E-3</v>
      </c>
      <c r="I20" s="13">
        <f t="shared" si="1"/>
        <v>7.8879208853308305E-2</v>
      </c>
      <c r="J20" s="13">
        <f t="shared" si="1"/>
        <v>-6.7602276696735368E-3</v>
      </c>
      <c r="K20" s="13">
        <f t="shared" si="1"/>
        <v>1.5469043497477032E-2</v>
      </c>
      <c r="L20" s="13">
        <f t="shared" si="1"/>
        <v>0.10572506934655086</v>
      </c>
      <c r="M20" s="39">
        <f t="shared" si="1"/>
        <v>4.6392486124946709E-2</v>
      </c>
      <c r="N20" s="45">
        <f t="shared" si="2"/>
        <v>0.10438527816541084</v>
      </c>
      <c r="O20" s="45">
        <f t="shared" si="3"/>
        <v>4.0334697364741032E-2</v>
      </c>
      <c r="P20" s="45">
        <f t="shared" si="4"/>
        <v>7.2359987765075948E-2</v>
      </c>
    </row>
    <row r="21" spans="1:16" x14ac:dyDescent="0.2">
      <c r="A21" s="36">
        <v>45839</v>
      </c>
      <c r="B21" s="13">
        <f t="shared" si="1"/>
        <v>3.0342092216162641E-2</v>
      </c>
      <c r="C21" s="13">
        <f t="shared" si="1"/>
        <v>0.11588295239481741</v>
      </c>
      <c r="D21" s="13">
        <f t="shared" si="1"/>
        <v>3.8387039971825979E-2</v>
      </c>
      <c r="E21" s="13">
        <f t="shared" si="1"/>
        <v>6.5112453189601016E-2</v>
      </c>
      <c r="F21" s="13">
        <f t="shared" si="1"/>
        <v>7.2022656133552021E-2</v>
      </c>
      <c r="G21" s="33">
        <f t="shared" si="1"/>
        <v>0.31452242300534322</v>
      </c>
      <c r="H21" s="13">
        <f t="shared" si="1"/>
        <v>-2.6899461175389491E-2</v>
      </c>
      <c r="I21" s="13">
        <f t="shared" si="1"/>
        <v>4.8959697366506544E-2</v>
      </c>
      <c r="J21" s="13">
        <f t="shared" si="1"/>
        <v>4.1685630352931394E-2</v>
      </c>
      <c r="K21" s="13">
        <f t="shared" si="1"/>
        <v>6.7716078488266718E-2</v>
      </c>
      <c r="L21" s="13">
        <f t="shared" si="1"/>
        <v>3.7094916927126215E-2</v>
      </c>
      <c r="M21" s="39">
        <f t="shared" si="1"/>
        <v>0.10131918944648446</v>
      </c>
      <c r="N21" s="45">
        <f t="shared" si="2"/>
        <v>0.10604493615188371</v>
      </c>
      <c r="O21" s="45">
        <f t="shared" si="3"/>
        <v>4.4979341900987645E-2</v>
      </c>
      <c r="P21" s="45">
        <f t="shared" si="4"/>
        <v>7.5512139026435665E-2</v>
      </c>
    </row>
    <row r="22" spans="1:16" x14ac:dyDescent="0.2">
      <c r="A22" s="36">
        <v>45870</v>
      </c>
      <c r="B22" s="13">
        <f t="shared" si="1"/>
        <v>-2.6176498893273014E-2</v>
      </c>
      <c r="C22" s="13">
        <f t="shared" si="1"/>
        <v>0.13320287018917146</v>
      </c>
      <c r="D22" s="13">
        <f t="shared" si="1"/>
        <v>7.3709795941439102E-2</v>
      </c>
      <c r="E22" s="13">
        <f t="shared" si="1"/>
        <v>6.5155980083324863E-2</v>
      </c>
      <c r="F22" s="13">
        <f t="shared" si="1"/>
        <v>4.2810266677789775E-2</v>
      </c>
      <c r="G22" s="33">
        <f t="shared" si="1"/>
        <v>0.11627694556083293</v>
      </c>
      <c r="H22" s="13">
        <f t="shared" si="1"/>
        <v>-9.6428724728505832E-2</v>
      </c>
      <c r="I22" s="13">
        <f t="shared" si="1"/>
        <v>8.7523406616270227E-2</v>
      </c>
      <c r="J22" s="13">
        <f t="shared" si="1"/>
        <v>0.16465751792346053</v>
      </c>
      <c r="K22" s="13">
        <f t="shared" si="1"/>
        <v>5.5574427610571416E-2</v>
      </c>
      <c r="L22" s="13">
        <f t="shared" si="1"/>
        <v>0.10341819335395346</v>
      </c>
      <c r="M22" s="39">
        <f t="shared" si="1"/>
        <v>-4.6307730303778709E-2</v>
      </c>
      <c r="N22" s="45">
        <f t="shared" si="2"/>
        <v>6.7496559926547517E-2</v>
      </c>
      <c r="O22" s="45">
        <f t="shared" si="3"/>
        <v>4.4739515078661841E-2</v>
      </c>
      <c r="P22" s="45">
        <f t="shared" si="4"/>
        <v>5.6118037502604683E-2</v>
      </c>
    </row>
    <row r="23" spans="1:16" x14ac:dyDescent="0.2">
      <c r="A23" s="36">
        <v>45901</v>
      </c>
      <c r="B23" s="13">
        <f t="shared" si="1"/>
        <v>0.13509240043482559</v>
      </c>
      <c r="C23" s="13">
        <f t="shared" si="1"/>
        <v>-1.6923785401795982E-2</v>
      </c>
      <c r="D23" s="13">
        <f t="shared" si="1"/>
        <v>0.11603053435114516</v>
      </c>
      <c r="E23" s="13">
        <f t="shared" si="1"/>
        <v>-3.623285188223848E-2</v>
      </c>
      <c r="F23" s="13">
        <f t="shared" si="1"/>
        <v>-1.9866401781309554E-2</v>
      </c>
      <c r="G23" s="33">
        <f t="shared" si="1"/>
        <v>-7.8226004418623582E-2</v>
      </c>
      <c r="H23" s="13">
        <f t="shared" si="1"/>
        <v>7.479632312771671E-2</v>
      </c>
      <c r="I23" s="13">
        <f t="shared" si="1"/>
        <v>7.6525731777309395E-3</v>
      </c>
      <c r="J23" s="13">
        <f t="shared" si="1"/>
        <v>4.9109883364026928E-3</v>
      </c>
      <c r="K23" s="13">
        <f t="shared" si="1"/>
        <v>4.392739911179757E-2</v>
      </c>
      <c r="L23" s="13">
        <f t="shared" si="1"/>
        <v>-1.1284410263782026E-2</v>
      </c>
      <c r="M23" s="39">
        <f t="shared" si="1"/>
        <v>2.9781173119254139E-2</v>
      </c>
      <c r="N23" s="45">
        <f t="shared" si="2"/>
        <v>1.6645648550333857E-2</v>
      </c>
      <c r="O23" s="45">
        <f t="shared" si="3"/>
        <v>2.4964007768186667E-2</v>
      </c>
      <c r="P23" s="45">
        <f t="shared" si="4"/>
        <v>2.0804828159260266E-2</v>
      </c>
    </row>
    <row r="24" spans="1:16" x14ac:dyDescent="0.2">
      <c r="A24" s="36">
        <v>45931</v>
      </c>
      <c r="B24" s="13">
        <f t="shared" si="1"/>
        <v>0.11200592025073999</v>
      </c>
      <c r="C24" s="13">
        <f t="shared" si="1"/>
        <v>9.6381309286801775E-2</v>
      </c>
      <c r="D24" s="13">
        <f t="shared" si="1"/>
        <v>0.15826218217840454</v>
      </c>
      <c r="E24" s="13">
        <f t="shared" si="1"/>
        <v>2.8884225530567055E-2</v>
      </c>
      <c r="F24" s="13">
        <f t="shared" si="1"/>
        <v>-2.4173252982546804E-2</v>
      </c>
      <c r="G24" s="33">
        <f t="shared" si="1"/>
        <v>0.2827785175321792</v>
      </c>
      <c r="H24" s="13">
        <f t="shared" si="1"/>
        <v>0.10276243093922652</v>
      </c>
      <c r="I24" s="13">
        <f t="shared" si="1"/>
        <v>5.816087589393075E-2</v>
      </c>
      <c r="J24" s="13">
        <f t="shared" si="1"/>
        <v>2.7319622615896131E-2</v>
      </c>
      <c r="K24" s="13">
        <f t="shared" si="1"/>
        <v>5.0433120626406529E-2</v>
      </c>
      <c r="L24" s="13">
        <f t="shared" si="1"/>
        <v>9.2141610933410958E-2</v>
      </c>
      <c r="M24" s="39">
        <f t="shared" si="1"/>
        <v>7.1419590091789165E-2</v>
      </c>
      <c r="N24" s="45">
        <f t="shared" si="2"/>
        <v>0.10902315029935765</v>
      </c>
      <c r="O24" s="45">
        <f t="shared" si="3"/>
        <v>6.7039541850110004E-2</v>
      </c>
      <c r="P24" s="45">
        <f t="shared" si="4"/>
        <v>8.8031346074733827E-2</v>
      </c>
    </row>
    <row r="25" spans="1:16" x14ac:dyDescent="0.2">
      <c r="A25" s="36">
        <v>45962</v>
      </c>
      <c r="B25" s="13">
        <f t="shared" si="1"/>
        <v>5.3239381483656381E-2</v>
      </c>
      <c r="C25" s="13">
        <f t="shared" si="1"/>
        <v>0.10489211706900227</v>
      </c>
      <c r="D25" s="13">
        <f t="shared" si="1"/>
        <v>0.15712307566995201</v>
      </c>
      <c r="E25" s="13">
        <f t="shared" si="1"/>
        <v>-5.1567220180486492E-3</v>
      </c>
      <c r="F25" s="13">
        <f t="shared" si="1"/>
        <v>-0.11100733264560737</v>
      </c>
      <c r="G25" s="33">
        <f t="shared" si="1"/>
        <v>-0.10781633853499868</v>
      </c>
      <c r="H25" s="13">
        <f t="shared" si="1"/>
        <v>-2.2164328657314634E-2</v>
      </c>
      <c r="I25" s="13">
        <f t="shared" si="1"/>
        <v>5.8851674641148349E-2</v>
      </c>
      <c r="J25" s="13">
        <f t="shared" si="1"/>
        <v>-4.9568894321297602E-2</v>
      </c>
      <c r="K25" s="13">
        <f t="shared" si="1"/>
        <v>3.286867204695538E-3</v>
      </c>
      <c r="L25" s="13">
        <f t="shared" si="1"/>
        <v>-3.9538057043964625E-2</v>
      </c>
      <c r="M25" s="39">
        <f t="shared" si="1"/>
        <v>-6.1377772561905762E-2</v>
      </c>
      <c r="N25" s="45">
        <f t="shared" si="2"/>
        <v>1.5212363503992658E-2</v>
      </c>
      <c r="O25" s="45">
        <f t="shared" si="3"/>
        <v>-1.8418418456439791E-2</v>
      </c>
      <c r="P25" s="45">
        <f t="shared" si="4"/>
        <v>-1.6030274762235646E-3</v>
      </c>
    </row>
    <row r="26" spans="1:16" x14ac:dyDescent="0.2">
      <c r="A26" s="36">
        <v>45992</v>
      </c>
      <c r="B26" s="13">
        <f t="shared" si="1"/>
        <v>5.222077680728493E-2</v>
      </c>
      <c r="C26" s="13">
        <f t="shared" si="1"/>
        <v>-0.13031709203402944</v>
      </c>
      <c r="D26" s="13">
        <f t="shared" si="1"/>
        <v>0.10910882725608897</v>
      </c>
      <c r="E26" s="13">
        <f t="shared" si="1"/>
        <v>-5.8584608243235338E-2</v>
      </c>
      <c r="F26" s="13">
        <f t="shared" si="1"/>
        <v>4.9552304338962346E-3</v>
      </c>
      <c r="G26" s="33">
        <f t="shared" si="1"/>
        <v>-0.22070971495055272</v>
      </c>
      <c r="H26" s="13">
        <f t="shared" si="1"/>
        <v>-9.9909824978480957E-2</v>
      </c>
      <c r="I26" s="13">
        <f t="shared" si="1"/>
        <v>-5.0948938093086205E-2</v>
      </c>
      <c r="J26" s="13">
        <f t="shared" si="1"/>
        <v>-5.1962948158704191E-2</v>
      </c>
      <c r="K26" s="13">
        <f t="shared" si="1"/>
        <v>-2.7759089712463828E-2</v>
      </c>
      <c r="L26" s="13">
        <f t="shared" si="1"/>
        <v>-5.6377559860008954E-2</v>
      </c>
      <c r="M26" s="39">
        <f t="shared" si="1"/>
        <v>2.5256314078519578E-2</v>
      </c>
      <c r="N26" s="45">
        <f t="shared" si="2"/>
        <v>-4.0554430121757891E-2</v>
      </c>
      <c r="O26" s="45">
        <f t="shared" si="3"/>
        <v>-4.3617007787370758E-2</v>
      </c>
      <c r="P26" s="45">
        <f t="shared" si="4"/>
        <v>-4.2085718954564318E-2</v>
      </c>
    </row>
    <row r="27" spans="1:16" x14ac:dyDescent="0.2">
      <c r="A27" s="36">
        <v>46023</v>
      </c>
      <c r="B27" s="13">
        <f t="shared" si="1"/>
        <v>-4.2705757682797704E-2</v>
      </c>
      <c r="C27" s="13">
        <f t="shared" si="1"/>
        <v>4.9633170297910222E-2</v>
      </c>
      <c r="D27" s="13">
        <f t="shared" si="1"/>
        <v>6.3467885250059861E-4</v>
      </c>
      <c r="E27" s="13">
        <f t="shared" si="1"/>
        <v>-2.8351892180630337E-2</v>
      </c>
      <c r="F27" s="13">
        <f t="shared" si="1"/>
        <v>1.4886014324277878E-2</v>
      </c>
      <c r="G27" s="33">
        <f t="shared" si="1"/>
        <v>-2.6027669951229172E-2</v>
      </c>
      <c r="H27" s="13">
        <f t="shared" si="1"/>
        <v>0.13178806439126572</v>
      </c>
      <c r="I27" s="13">
        <f t="shared" si="1"/>
        <v>0.11445066063563855</v>
      </c>
      <c r="J27" s="13">
        <f t="shared" si="1"/>
        <v>7.3600850580190974E-2</v>
      </c>
      <c r="K27" s="13">
        <f t="shared" si="1"/>
        <v>3.3154822793188467E-2</v>
      </c>
      <c r="L27" s="13">
        <f t="shared" si="1"/>
        <v>0.1180963572267921</v>
      </c>
      <c r="M27" s="39">
        <f t="shared" si="1"/>
        <v>6.1585365853658501E-2</v>
      </c>
      <c r="N27" s="45">
        <f t="shared" si="2"/>
        <v>-5.3219093899947523E-3</v>
      </c>
      <c r="O27" s="45">
        <f t="shared" si="3"/>
        <v>8.8779353580122386E-2</v>
      </c>
      <c r="P27" s="45">
        <f t="shared" si="4"/>
        <v>4.1728722095063814E-2</v>
      </c>
    </row>
    <row r="28" spans="1:16" ht="17" thickBot="1" x14ac:dyDescent="0.25">
      <c r="A28" s="40">
        <v>46054</v>
      </c>
      <c r="B28" s="41">
        <f xml:space="preserve"> (B13-B12)/B12</f>
        <v>-3.689900741670049E-3</v>
      </c>
      <c r="C28" s="41">
        <f t="shared" ref="C28:H28" si="5" xml:space="preserve"> (C13-C12)/C12</f>
        <v>-1.7156473391580516E-2</v>
      </c>
      <c r="D28" s="41">
        <f t="shared" si="5"/>
        <v>9.3809463402257973E-2</v>
      </c>
      <c r="E28" s="41">
        <f t="shared" si="5"/>
        <v>-0.10481244978221338</v>
      </c>
      <c r="F28" s="41">
        <f t="shared" si="5"/>
        <v>8.6099537214987476E-2</v>
      </c>
      <c r="G28" s="42">
        <f t="shared" si="5"/>
        <v>-0.18215727351693836</v>
      </c>
      <c r="H28" s="41">
        <f t="shared" si="5"/>
        <v>0.27949785744462552</v>
      </c>
      <c r="I28" s="41">
        <f t="shared" si="1"/>
        <v>7.3911882510013363E-2</v>
      </c>
      <c r="J28" s="41">
        <f t="shared" si="1"/>
        <v>0.16965474848888437</v>
      </c>
      <c r="K28" s="41">
        <f t="shared" si="1"/>
        <v>8.6488060570763751E-3</v>
      </c>
      <c r="L28" s="41">
        <f t="shared" si="1"/>
        <v>0.11744613767735151</v>
      </c>
      <c r="M28" s="43">
        <f t="shared" si="1"/>
        <v>5.8587018954624369E-3</v>
      </c>
      <c r="N28" s="45">
        <f t="shared" si="2"/>
        <v>-2.1317849469192809E-2</v>
      </c>
      <c r="O28" s="45">
        <f t="shared" si="3"/>
        <v>0.10916968901223562</v>
      </c>
      <c r="P28" s="45">
        <f t="shared" si="4"/>
        <v>4.3925919771521389E-2</v>
      </c>
    </row>
    <row r="29" spans="1:16" ht="17" thickBot="1" x14ac:dyDescent="0.25">
      <c r="A29" s="11"/>
      <c r="B29" s="12"/>
    </row>
    <row r="30" spans="1:16" ht="17" thickBot="1" x14ac:dyDescent="0.25">
      <c r="A30" s="16" t="s">
        <v>15</v>
      </c>
      <c r="B30" s="14">
        <f xml:space="preserve"> AVERAGE(B18:B28)</f>
        <v>1.3571705946753844E-2</v>
      </c>
      <c r="C30" s="14">
        <f t="shared" ref="C30:P30" si="6" xml:space="preserve"> AVERAGE(C18:C28)</f>
        <v>4.9587527898784733E-2</v>
      </c>
      <c r="D30" s="14">
        <f t="shared" si="6"/>
        <v>6.9113812820178311E-2</v>
      </c>
      <c r="E30" s="14">
        <f t="shared" si="6"/>
        <v>9.8929636643392948E-3</v>
      </c>
      <c r="F30" s="14">
        <f t="shared" si="6"/>
        <v>9.9321944151245321E-3</v>
      </c>
      <c r="G30" s="14">
        <f t="shared" si="6"/>
        <v>1.3145983553067193E-2</v>
      </c>
      <c r="H30" s="14">
        <f t="shared" si="6"/>
        <v>3.6660109376935639E-2</v>
      </c>
      <c r="I30" s="14">
        <f t="shared" si="6"/>
        <v>3.9015443696003189E-2</v>
      </c>
      <c r="J30" s="14">
        <f t="shared" si="6"/>
        <v>3.6896854047821254E-2</v>
      </c>
      <c r="K30" s="14">
        <f t="shared" si="6"/>
        <v>2.9089021417728754E-2</v>
      </c>
      <c r="L30" s="14">
        <f t="shared" si="6"/>
        <v>4.7730080046703156E-2</v>
      </c>
      <c r="M30" s="15">
        <f t="shared" si="6"/>
        <v>1.660065254951518E-2</v>
      </c>
      <c r="N30" s="15">
        <f t="shared" si="6"/>
        <v>2.7540698049707987E-2</v>
      </c>
      <c r="O30" s="15">
        <f t="shared" si="6"/>
        <v>3.4332026855784521E-2</v>
      </c>
      <c r="P30" s="15">
        <f t="shared" si="6"/>
        <v>3.0936362452746266E-2</v>
      </c>
    </row>
    <row r="31" spans="1:16" ht="17" thickBot="1" x14ac:dyDescent="0.25">
      <c r="A31" s="17" t="s">
        <v>16</v>
      </c>
      <c r="B31" s="20">
        <f>_xlfn.STDEV.S(B18:B28)</f>
        <v>6.8252191348433494E-2</v>
      </c>
      <c r="C31" s="20">
        <f t="shared" ref="C31:P31" si="7">_xlfn.STDEV.S(C18:C28)</f>
        <v>9.9551347767654133E-2</v>
      </c>
      <c r="D31" s="20">
        <f t="shared" si="7"/>
        <v>6.6634824272148618E-2</v>
      </c>
      <c r="E31" s="20">
        <f t="shared" si="7"/>
        <v>6.7260081042049405E-2</v>
      </c>
      <c r="F31" s="20">
        <f t="shared" si="7"/>
        <v>8.2648451646729196E-2</v>
      </c>
      <c r="G31" s="20">
        <f t="shared" si="7"/>
        <v>0.18105277108801357</v>
      </c>
      <c r="H31" s="20">
        <f t="shared" si="7"/>
        <v>0.11027849812562442</v>
      </c>
      <c r="I31" s="20">
        <f t="shared" si="7"/>
        <v>5.415529074465527E-2</v>
      </c>
      <c r="J31" s="20">
        <f t="shared" si="7"/>
        <v>7.9831121689474038E-2</v>
      </c>
      <c r="K31" s="20">
        <f t="shared" si="7"/>
        <v>3.3743380144904397E-2</v>
      </c>
      <c r="L31" s="20">
        <f t="shared" si="7"/>
        <v>6.4600729872212187E-2</v>
      </c>
      <c r="M31" s="21">
        <f t="shared" si="7"/>
        <v>5.2027072266124429E-2</v>
      </c>
      <c r="N31" s="21">
        <f t="shared" si="7"/>
        <v>6.1359275760895692E-2</v>
      </c>
      <c r="O31" s="21">
        <f t="shared" si="7"/>
        <v>4.510347262660324E-2</v>
      </c>
      <c r="P31" s="21">
        <f t="shared" si="7"/>
        <v>4.2121595709590301E-2</v>
      </c>
    </row>
    <row r="32" spans="1:16" ht="17" thickBot="1" x14ac:dyDescent="0.25">
      <c r="A32" s="18" t="s">
        <v>25</v>
      </c>
      <c r="B32" s="22">
        <f>AVERAGE(B18:B28)*12</f>
        <v>0.16286047136104612</v>
      </c>
      <c r="C32" s="22">
        <f t="shared" ref="C32:L32" si="8">AVERAGE(C18:C28)*12</f>
        <v>0.5950503347854168</v>
      </c>
      <c r="D32" s="22">
        <f t="shared" si="8"/>
        <v>0.82936575384213973</v>
      </c>
      <c r="E32" s="22">
        <f t="shared" si="8"/>
        <v>0.11871556397207153</v>
      </c>
      <c r="F32" s="22">
        <f t="shared" si="8"/>
        <v>0.11918633298149439</v>
      </c>
      <c r="G32" s="22">
        <f t="shared" si="8"/>
        <v>0.15775180263680633</v>
      </c>
      <c r="H32" s="22">
        <f t="shared" si="8"/>
        <v>0.43992131252322764</v>
      </c>
      <c r="I32" s="22">
        <f t="shared" si="8"/>
        <v>0.4681853243520383</v>
      </c>
      <c r="J32" s="22">
        <f t="shared" si="8"/>
        <v>0.44276224857385504</v>
      </c>
      <c r="K32" s="22">
        <f t="shared" si="8"/>
        <v>0.34906825701274502</v>
      </c>
      <c r="L32" s="22">
        <f t="shared" si="8"/>
        <v>0.5727609605604379</v>
      </c>
      <c r="M32" s="23">
        <f>AVERAGE(M18:M28)*12</f>
        <v>0.19920783059418218</v>
      </c>
      <c r="N32" s="23">
        <f t="shared" ref="N32:P32" si="9">AVERAGE(N18:N28)*12</f>
        <v>0.33048837659649583</v>
      </c>
      <c r="O32" s="23">
        <f t="shared" si="9"/>
        <v>0.41198432226941428</v>
      </c>
      <c r="P32" s="23">
        <f t="shared" si="9"/>
        <v>0.37123634943295519</v>
      </c>
    </row>
    <row r="33" spans="1:16" ht="17" thickBot="1" x14ac:dyDescent="0.25">
      <c r="A33" s="19" t="s">
        <v>20</v>
      </c>
      <c r="B33" s="24">
        <f>_xlfn.STDEV.S(B18:B28)*SQRT(12)</f>
        <v>0.23643252628679953</v>
      </c>
      <c r="C33" s="24">
        <f t="shared" ref="C33:P33" si="10">_xlfn.STDEV.S(C18:C28)*SQRT(12)</f>
        <v>0.34485598459107097</v>
      </c>
      <c r="D33" s="24">
        <f t="shared" si="10"/>
        <v>0.23082980238557047</v>
      </c>
      <c r="E33" s="24">
        <f t="shared" si="10"/>
        <v>0.2329957553720596</v>
      </c>
      <c r="F33" s="24">
        <f t="shared" si="10"/>
        <v>0.28630263483806923</v>
      </c>
      <c r="G33" s="24">
        <f t="shared" si="10"/>
        <v>0.62718519675115392</v>
      </c>
      <c r="H33" s="24">
        <f t="shared" si="10"/>
        <v>0.38201592347194135</v>
      </c>
      <c r="I33" s="24">
        <f t="shared" si="10"/>
        <v>0.18759943013681502</v>
      </c>
      <c r="J33" s="24">
        <f t="shared" si="10"/>
        <v>0.27654311758276562</v>
      </c>
      <c r="K33" s="24">
        <f t="shared" si="10"/>
        <v>0.11689049766017055</v>
      </c>
      <c r="L33" s="24">
        <f t="shared" si="10"/>
        <v>0.223783492689408</v>
      </c>
      <c r="M33" s="25">
        <f t="shared" si="10"/>
        <v>0.18022706506797029</v>
      </c>
      <c r="N33" s="25">
        <f t="shared" si="10"/>
        <v>0.21255476626700162</v>
      </c>
      <c r="O33" s="25">
        <f t="shared" si="10"/>
        <v>0.15624301237413779</v>
      </c>
      <c r="P33" s="25">
        <f t="shared" si="10"/>
        <v>0.14591348772977128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0247-88A4-2D49-AD52-795A539BE337}">
  <dimension ref="A1:M9"/>
  <sheetViews>
    <sheetView zoomScale="137" zoomScaleNormal="100" workbookViewId="0">
      <selection activeCell="D22" sqref="D22"/>
    </sheetView>
  </sheetViews>
  <sheetFormatPr baseColWidth="10" defaultRowHeight="16" x14ac:dyDescent="0.2"/>
  <cols>
    <col min="1" max="1" width="26.1640625" bestFit="1" customWidth="1"/>
    <col min="2" max="13" width="9.83203125" customWidth="1"/>
    <col min="14" max="14" width="26.1640625" bestFit="1" customWidth="1"/>
    <col min="15" max="15" width="17.5" bestFit="1" customWidth="1"/>
    <col min="16" max="16" width="15" bestFit="1" customWidth="1"/>
    <col min="17" max="17" width="14.1640625" bestFit="1" customWidth="1"/>
  </cols>
  <sheetData>
    <row r="1" spans="1:13" ht="17" thickBot="1" x14ac:dyDescent="0.25">
      <c r="A1" s="59" t="s">
        <v>21</v>
      </c>
      <c r="B1" s="63" t="s">
        <v>26</v>
      </c>
      <c r="C1" s="64"/>
      <c r="D1" s="64"/>
      <c r="E1" s="64"/>
      <c r="F1" s="64"/>
      <c r="G1" s="65"/>
      <c r="H1" s="66" t="s">
        <v>27</v>
      </c>
      <c r="I1" s="66"/>
      <c r="J1" s="66"/>
      <c r="K1" s="66"/>
      <c r="L1" s="66"/>
      <c r="M1" s="67"/>
    </row>
    <row r="2" spans="1:13" ht="17" thickBot="1" x14ac:dyDescent="0.25">
      <c r="A2" s="68" t="s">
        <v>28</v>
      </c>
      <c r="B2" s="73" t="s">
        <v>1</v>
      </c>
      <c r="C2" s="74" t="s">
        <v>2</v>
      </c>
      <c r="D2" s="74" t="s">
        <v>3</v>
      </c>
      <c r="E2" s="74" t="s">
        <v>4</v>
      </c>
      <c r="F2" s="75" t="s">
        <v>5</v>
      </c>
      <c r="G2" s="76" t="s">
        <v>6</v>
      </c>
      <c r="H2" s="77" t="s">
        <v>7</v>
      </c>
      <c r="I2" s="60" t="s">
        <v>8</v>
      </c>
      <c r="J2" s="60" t="s">
        <v>9</v>
      </c>
      <c r="K2" s="60" t="s">
        <v>10</v>
      </c>
      <c r="L2" s="61" t="s">
        <v>11</v>
      </c>
      <c r="M2" s="62" t="s">
        <v>12</v>
      </c>
    </row>
    <row r="3" spans="1:13" ht="17" thickBot="1" x14ac:dyDescent="0.25">
      <c r="A3" s="69" t="s">
        <v>25</v>
      </c>
      <c r="B3" s="71">
        <v>0.16286047136104612</v>
      </c>
      <c r="C3" s="57">
        <v>0.5950503347854168</v>
      </c>
      <c r="D3" s="57">
        <v>0.82936575384213973</v>
      </c>
      <c r="E3" s="57">
        <v>0.11871556397207153</v>
      </c>
      <c r="F3" s="57">
        <v>0.11918633298149439</v>
      </c>
      <c r="G3" s="58">
        <v>0.15775180263680633</v>
      </c>
      <c r="H3" s="57">
        <v>0.43992131252322764</v>
      </c>
      <c r="I3" s="57">
        <v>0.4681853243520383</v>
      </c>
      <c r="J3" s="57">
        <v>0.44276224857385504</v>
      </c>
      <c r="K3" s="57">
        <v>0.34906825701274502</v>
      </c>
      <c r="L3" s="57">
        <v>0.5727609605604379</v>
      </c>
      <c r="M3" s="58">
        <v>0.19920783059418218</v>
      </c>
    </row>
    <row r="4" spans="1:13" ht="17" thickBot="1" x14ac:dyDescent="0.25">
      <c r="A4" s="70" t="s">
        <v>20</v>
      </c>
      <c r="B4" s="72">
        <v>0.23643252628679953</v>
      </c>
      <c r="C4" s="24">
        <v>0.34485598459107097</v>
      </c>
      <c r="D4" s="24">
        <v>0.23082980238557047</v>
      </c>
      <c r="E4" s="24">
        <v>0.2329957553720596</v>
      </c>
      <c r="F4" s="24">
        <v>0.28630263483806923</v>
      </c>
      <c r="G4" s="25">
        <v>0.62718519675115392</v>
      </c>
      <c r="H4" s="24">
        <v>0.38201592347194135</v>
      </c>
      <c r="I4" s="24">
        <v>0.18759943013681502</v>
      </c>
      <c r="J4" s="24">
        <v>0.27654311758276562</v>
      </c>
      <c r="K4" s="24">
        <v>0.11689049766017055</v>
      </c>
      <c r="L4" s="24">
        <v>0.223783492689408</v>
      </c>
      <c r="M4" s="25">
        <v>0.18022706506797029</v>
      </c>
    </row>
    <row r="6" spans="1:13" ht="17" thickBot="1" x14ac:dyDescent="0.25"/>
    <row r="7" spans="1:13" ht="17" thickBot="1" x14ac:dyDescent="0.25">
      <c r="A7" s="48" t="s">
        <v>21</v>
      </c>
      <c r="B7" s="49" t="s">
        <v>22</v>
      </c>
      <c r="C7" s="49" t="s">
        <v>23</v>
      </c>
      <c r="D7" s="50" t="s">
        <v>24</v>
      </c>
    </row>
    <row r="8" spans="1:13" ht="17" thickBot="1" x14ac:dyDescent="0.25">
      <c r="A8" s="46" t="s">
        <v>25</v>
      </c>
      <c r="B8" s="51">
        <v>0.330488</v>
      </c>
      <c r="C8" s="52">
        <v>0.41198400000000002</v>
      </c>
      <c r="D8" s="53">
        <v>0.37123600000000001</v>
      </c>
    </row>
    <row r="9" spans="1:13" ht="17" thickBot="1" x14ac:dyDescent="0.25">
      <c r="A9" s="47" t="s">
        <v>20</v>
      </c>
      <c r="B9" s="54">
        <v>0.21255499999999999</v>
      </c>
      <c r="C9" s="55">
        <v>0.15624299999999999</v>
      </c>
      <c r="D9" s="56">
        <v>0.14591299999999999</v>
      </c>
    </row>
  </sheetData>
  <mergeCells count="2">
    <mergeCell ref="B1:G1"/>
    <mergeCell ref="H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D81D-FD2B-3948-A2FA-C50F56A264F0}">
  <dimension ref="A1:M233"/>
  <sheetViews>
    <sheetView workbookViewId="0">
      <selection activeCell="Q7" sqref="Q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78" t="s">
        <v>5</v>
      </c>
      <c r="G1" s="78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79">
        <v>45719</v>
      </c>
      <c r="B2" s="2">
        <v>238.03</v>
      </c>
      <c r="C2" s="2">
        <v>114.06</v>
      </c>
      <c r="D2" s="2">
        <v>168.66</v>
      </c>
      <c r="E2" s="2">
        <v>388.49</v>
      </c>
      <c r="F2" s="2">
        <v>655.04999999999995</v>
      </c>
      <c r="G2" s="2">
        <v>162.02000000000001</v>
      </c>
      <c r="H2" s="2">
        <v>451.94</v>
      </c>
      <c r="I2" s="2">
        <v>133.83000000000001</v>
      </c>
      <c r="J2" s="2">
        <v>473.41</v>
      </c>
      <c r="K2" s="2">
        <v>254.04</v>
      </c>
      <c r="L2" s="2">
        <v>207.7</v>
      </c>
      <c r="M2" s="2">
        <v>74.02</v>
      </c>
    </row>
    <row r="3" spans="1:13" x14ac:dyDescent="0.2">
      <c r="A3" s="80">
        <v>45720</v>
      </c>
      <c r="B3" s="81">
        <v>235.93</v>
      </c>
      <c r="C3" s="81">
        <v>115.99</v>
      </c>
      <c r="D3" s="81">
        <v>172.61</v>
      </c>
      <c r="E3" s="81">
        <v>388.61</v>
      </c>
      <c r="F3" s="81">
        <v>640</v>
      </c>
      <c r="G3" s="81">
        <v>157.47</v>
      </c>
      <c r="H3" s="81">
        <v>448.82</v>
      </c>
      <c r="I3" s="81">
        <v>128.69999999999999</v>
      </c>
      <c r="J3" s="81">
        <v>463.83</v>
      </c>
      <c r="K3" s="81">
        <v>250.8</v>
      </c>
      <c r="L3" s="81">
        <v>207.08</v>
      </c>
      <c r="M3" s="81">
        <v>70.19</v>
      </c>
    </row>
    <row r="4" spans="1:13" x14ac:dyDescent="0.2">
      <c r="A4" s="80">
        <v>45721</v>
      </c>
      <c r="B4" s="81">
        <v>235.74</v>
      </c>
      <c r="C4" s="81">
        <v>117.3</v>
      </c>
      <c r="D4" s="81">
        <v>174.99</v>
      </c>
      <c r="E4" s="81">
        <v>401.02</v>
      </c>
      <c r="F4" s="81">
        <v>656.47</v>
      </c>
      <c r="G4" s="81">
        <v>161.56</v>
      </c>
      <c r="H4" s="81">
        <v>460.42</v>
      </c>
      <c r="I4" s="81">
        <v>129.63999999999999</v>
      </c>
      <c r="J4" s="81">
        <v>474.2</v>
      </c>
      <c r="K4" s="81">
        <v>262.95999999999998</v>
      </c>
      <c r="L4" s="81">
        <v>210.53</v>
      </c>
      <c r="M4" s="81">
        <v>72.37</v>
      </c>
    </row>
    <row r="5" spans="1:13" x14ac:dyDescent="0.2">
      <c r="A5" s="80">
        <v>45722</v>
      </c>
      <c r="B5" s="81">
        <v>235.33</v>
      </c>
      <c r="C5" s="81">
        <v>110.57</v>
      </c>
      <c r="D5" s="81">
        <v>174.21</v>
      </c>
      <c r="E5" s="81">
        <v>396.89</v>
      </c>
      <c r="F5" s="81">
        <v>627.92999999999995</v>
      </c>
      <c r="G5" s="81">
        <v>150.94</v>
      </c>
      <c r="H5" s="81">
        <v>461.5</v>
      </c>
      <c r="I5" s="81">
        <v>128.28</v>
      </c>
      <c r="J5" s="81">
        <v>475.2</v>
      </c>
      <c r="K5" s="81">
        <v>264.55</v>
      </c>
      <c r="L5" s="81">
        <v>213.79</v>
      </c>
      <c r="M5" s="81">
        <v>73.37</v>
      </c>
    </row>
    <row r="6" spans="1:13" x14ac:dyDescent="0.2">
      <c r="A6" s="80">
        <v>45723</v>
      </c>
      <c r="B6" s="81">
        <v>239.07</v>
      </c>
      <c r="C6" s="81">
        <v>112.69</v>
      </c>
      <c r="D6" s="81">
        <v>175.75</v>
      </c>
      <c r="E6" s="81">
        <v>393.31</v>
      </c>
      <c r="F6" s="81">
        <v>625.66</v>
      </c>
      <c r="G6" s="81">
        <v>155.16</v>
      </c>
      <c r="H6" s="81">
        <v>473.65</v>
      </c>
      <c r="I6" s="81">
        <v>128.4</v>
      </c>
      <c r="J6" s="81">
        <v>486.52</v>
      </c>
      <c r="K6" s="81">
        <v>271.56</v>
      </c>
      <c r="L6" s="81">
        <v>220.1</v>
      </c>
      <c r="M6" s="81">
        <v>75.42</v>
      </c>
    </row>
    <row r="7" spans="1:13" x14ac:dyDescent="0.2">
      <c r="A7" s="80">
        <v>45726</v>
      </c>
      <c r="B7" s="81">
        <v>227.48</v>
      </c>
      <c r="C7" s="81">
        <v>106.98</v>
      </c>
      <c r="D7" s="81">
        <v>167.81</v>
      </c>
      <c r="E7" s="81">
        <v>380.16</v>
      </c>
      <c r="F7" s="81">
        <v>597.99</v>
      </c>
      <c r="G7" s="81">
        <v>148.79</v>
      </c>
      <c r="H7" s="81">
        <v>479.17</v>
      </c>
      <c r="I7" s="81">
        <v>128.52000000000001</v>
      </c>
      <c r="J7" s="81">
        <v>495.45</v>
      </c>
      <c r="K7" s="81">
        <v>271.94</v>
      </c>
      <c r="L7" s="81">
        <v>217.85</v>
      </c>
      <c r="M7" s="81">
        <v>75.44</v>
      </c>
    </row>
    <row r="8" spans="1:13" x14ac:dyDescent="0.2">
      <c r="A8" s="80">
        <v>45727</v>
      </c>
      <c r="B8" s="81">
        <v>220.84</v>
      </c>
      <c r="C8" s="81">
        <v>108.76</v>
      </c>
      <c r="D8" s="81">
        <v>165.98</v>
      </c>
      <c r="E8" s="81">
        <v>380.45</v>
      </c>
      <c r="F8" s="81">
        <v>605.71</v>
      </c>
      <c r="G8" s="81">
        <v>144.18</v>
      </c>
      <c r="H8" s="81">
        <v>468.88</v>
      </c>
      <c r="I8" s="81">
        <v>128.11000000000001</v>
      </c>
      <c r="J8" s="81">
        <v>494.11</v>
      </c>
      <c r="K8" s="81">
        <v>264.12</v>
      </c>
      <c r="L8" s="81">
        <v>212.33</v>
      </c>
      <c r="M8" s="81">
        <v>73.650000000000006</v>
      </c>
    </row>
    <row r="9" spans="1:13" x14ac:dyDescent="0.2">
      <c r="A9" s="80">
        <v>45728</v>
      </c>
      <c r="B9" s="81">
        <v>216.98</v>
      </c>
      <c r="C9" s="81">
        <v>115.74</v>
      </c>
      <c r="D9" s="81">
        <v>169</v>
      </c>
      <c r="E9" s="81">
        <v>383.27</v>
      </c>
      <c r="F9" s="81">
        <v>619.55999999999995</v>
      </c>
      <c r="G9" s="81">
        <v>150.88999999999999</v>
      </c>
      <c r="H9" s="81">
        <v>461.5</v>
      </c>
      <c r="I9" s="81">
        <v>127.96</v>
      </c>
      <c r="J9" s="81">
        <v>475.1</v>
      </c>
      <c r="K9" s="81">
        <v>260.01</v>
      </c>
      <c r="L9" s="81">
        <v>208.95</v>
      </c>
      <c r="M9" s="81">
        <v>72.72</v>
      </c>
    </row>
    <row r="10" spans="1:13" x14ac:dyDescent="0.2">
      <c r="A10" s="80">
        <v>45729</v>
      </c>
      <c r="B10" s="81">
        <v>209.68</v>
      </c>
      <c r="C10" s="81">
        <v>115.58</v>
      </c>
      <c r="D10" s="81">
        <v>164.73</v>
      </c>
      <c r="E10" s="81">
        <v>378.77</v>
      </c>
      <c r="F10" s="81">
        <v>590.64</v>
      </c>
      <c r="G10" s="81">
        <v>147.66</v>
      </c>
      <c r="H10" s="81">
        <v>467.93</v>
      </c>
      <c r="I10" s="81">
        <v>129.19999999999999</v>
      </c>
      <c r="J10" s="81">
        <v>490.59</v>
      </c>
      <c r="K10" s="81">
        <v>261.16000000000003</v>
      </c>
      <c r="L10" s="81">
        <v>211.18</v>
      </c>
      <c r="M10" s="81">
        <v>71.989999999999995</v>
      </c>
    </row>
    <row r="11" spans="1:13" x14ac:dyDescent="0.2">
      <c r="A11" s="80">
        <v>45730</v>
      </c>
      <c r="B11" s="81">
        <v>213.49</v>
      </c>
      <c r="C11" s="81">
        <v>121.67</v>
      </c>
      <c r="D11" s="81">
        <v>167.62</v>
      </c>
      <c r="E11" s="81">
        <v>388.56</v>
      </c>
      <c r="F11" s="81">
        <v>607.6</v>
      </c>
      <c r="G11" s="81">
        <v>149.27000000000001</v>
      </c>
      <c r="H11" s="81">
        <v>466.17</v>
      </c>
      <c r="I11" s="81">
        <v>129.99</v>
      </c>
      <c r="J11" s="81">
        <v>484.93</v>
      </c>
      <c r="K11" s="81">
        <v>262.02999999999997</v>
      </c>
      <c r="L11" s="81">
        <v>211.06</v>
      </c>
      <c r="M11" s="81">
        <v>73.19</v>
      </c>
    </row>
    <row r="12" spans="1:13" x14ac:dyDescent="0.2">
      <c r="A12" s="80">
        <v>45733</v>
      </c>
      <c r="B12" s="81">
        <v>214</v>
      </c>
      <c r="C12" s="81">
        <v>119.53</v>
      </c>
      <c r="D12" s="81">
        <v>166.57</v>
      </c>
      <c r="E12" s="81">
        <v>388.7</v>
      </c>
      <c r="F12" s="81">
        <v>604.9</v>
      </c>
      <c r="G12" s="81">
        <v>154.01</v>
      </c>
      <c r="H12" s="81">
        <v>467.61</v>
      </c>
      <c r="I12" s="81">
        <v>132.05000000000001</v>
      </c>
      <c r="J12" s="81">
        <v>490.5</v>
      </c>
      <c r="K12" s="81">
        <v>265.18</v>
      </c>
      <c r="L12" s="81">
        <v>212.98</v>
      </c>
      <c r="M12" s="81">
        <v>74.62</v>
      </c>
    </row>
    <row r="13" spans="1:13" x14ac:dyDescent="0.2">
      <c r="A13" s="80">
        <v>45734</v>
      </c>
      <c r="B13" s="81">
        <v>212.69</v>
      </c>
      <c r="C13" s="81">
        <v>115.43</v>
      </c>
      <c r="D13" s="81">
        <v>162.66999999999999</v>
      </c>
      <c r="E13" s="81">
        <v>383.52</v>
      </c>
      <c r="F13" s="81">
        <v>582.36</v>
      </c>
      <c r="G13" s="81">
        <v>149.44999999999999</v>
      </c>
      <c r="H13" s="81">
        <v>469.28</v>
      </c>
      <c r="I13" s="81">
        <v>132.69</v>
      </c>
      <c r="J13" s="81">
        <v>489.81</v>
      </c>
      <c r="K13" s="81">
        <v>267.52</v>
      </c>
      <c r="L13" s="81">
        <v>212.43</v>
      </c>
      <c r="M13" s="81">
        <v>74.25</v>
      </c>
    </row>
    <row r="14" spans="1:13" x14ac:dyDescent="0.2">
      <c r="A14" s="80">
        <v>45735</v>
      </c>
      <c r="B14" s="81">
        <v>215.24</v>
      </c>
      <c r="C14" s="81">
        <v>117.52</v>
      </c>
      <c r="D14" s="81">
        <v>166.28</v>
      </c>
      <c r="E14" s="81">
        <v>387.82</v>
      </c>
      <c r="F14" s="81">
        <v>584.05999999999995</v>
      </c>
      <c r="G14" s="81">
        <v>152.44999999999999</v>
      </c>
      <c r="H14" s="81">
        <v>470.55</v>
      </c>
      <c r="I14" s="81">
        <v>135.32</v>
      </c>
      <c r="J14" s="81">
        <v>491.52</v>
      </c>
      <c r="K14" s="81">
        <v>267.97000000000003</v>
      </c>
      <c r="L14" s="81">
        <v>213.04</v>
      </c>
      <c r="M14" s="81">
        <v>74.44</v>
      </c>
    </row>
    <row r="15" spans="1:13" x14ac:dyDescent="0.2">
      <c r="A15" s="80">
        <v>45736</v>
      </c>
      <c r="B15" s="81">
        <v>214.1</v>
      </c>
      <c r="C15" s="81">
        <v>118.53</v>
      </c>
      <c r="D15" s="81">
        <v>165.05</v>
      </c>
      <c r="E15" s="81">
        <v>386.84</v>
      </c>
      <c r="F15" s="81">
        <v>586</v>
      </c>
      <c r="G15" s="81">
        <v>152.72</v>
      </c>
      <c r="H15" s="81">
        <v>466.74</v>
      </c>
      <c r="I15" s="81">
        <v>134.47</v>
      </c>
      <c r="J15" s="81">
        <v>489.23</v>
      </c>
      <c r="K15" s="81">
        <v>265.7</v>
      </c>
      <c r="L15" s="81">
        <v>209.89</v>
      </c>
      <c r="M15" s="81">
        <v>73.489999999999995</v>
      </c>
    </row>
    <row r="16" spans="1:13" x14ac:dyDescent="0.2">
      <c r="A16" s="80">
        <v>45737</v>
      </c>
      <c r="B16" s="81">
        <v>218.27</v>
      </c>
      <c r="C16" s="81">
        <v>117.7</v>
      </c>
      <c r="D16" s="81">
        <v>166.25</v>
      </c>
      <c r="E16" s="81">
        <v>391.26</v>
      </c>
      <c r="F16" s="81">
        <v>596.25</v>
      </c>
      <c r="G16" s="81">
        <v>152.22999999999999</v>
      </c>
      <c r="H16" s="81">
        <v>439.7</v>
      </c>
      <c r="I16" s="81">
        <v>132.37</v>
      </c>
      <c r="J16" s="81">
        <v>490.72</v>
      </c>
      <c r="K16" s="81">
        <v>263.41000000000003</v>
      </c>
      <c r="L16" s="81">
        <v>207.98</v>
      </c>
      <c r="M16" s="81">
        <v>73.08</v>
      </c>
    </row>
    <row r="17" spans="1:13" x14ac:dyDescent="0.2">
      <c r="A17" s="80">
        <v>45740</v>
      </c>
      <c r="B17" s="81">
        <v>220.73</v>
      </c>
      <c r="C17" s="81">
        <v>121.41</v>
      </c>
      <c r="D17" s="81">
        <v>169.93</v>
      </c>
      <c r="E17" s="81">
        <v>393.08</v>
      </c>
      <c r="F17" s="81">
        <v>618.85</v>
      </c>
      <c r="G17" s="81">
        <v>154.87</v>
      </c>
      <c r="H17" s="81">
        <v>434.98</v>
      </c>
      <c r="I17" s="81">
        <v>134.69</v>
      </c>
      <c r="J17" s="81">
        <v>495.08</v>
      </c>
      <c r="K17" s="81">
        <v>265.88</v>
      </c>
      <c r="L17" s="81">
        <v>210.71</v>
      </c>
      <c r="M17" s="81">
        <v>74.28</v>
      </c>
    </row>
    <row r="18" spans="1:13" x14ac:dyDescent="0.2">
      <c r="A18" s="80">
        <v>45741</v>
      </c>
      <c r="B18" s="81">
        <v>223.75</v>
      </c>
      <c r="C18" s="81">
        <v>120.69</v>
      </c>
      <c r="D18" s="81">
        <v>172.79</v>
      </c>
      <c r="E18" s="81">
        <v>395.16</v>
      </c>
      <c r="F18" s="81">
        <v>626.30999999999995</v>
      </c>
      <c r="G18" s="81">
        <v>153.93</v>
      </c>
      <c r="H18" s="81">
        <v>442.07</v>
      </c>
      <c r="I18" s="81">
        <v>135.66</v>
      </c>
      <c r="J18" s="81">
        <v>506.62</v>
      </c>
      <c r="K18" s="81">
        <v>267.54000000000002</v>
      </c>
      <c r="L18" s="81">
        <v>212.56</v>
      </c>
      <c r="M18" s="81">
        <v>74.64</v>
      </c>
    </row>
    <row r="19" spans="1:13" x14ac:dyDescent="0.2">
      <c r="A19" s="80">
        <v>45742</v>
      </c>
      <c r="B19" s="81">
        <v>221.53</v>
      </c>
      <c r="C19" s="81">
        <v>113.76</v>
      </c>
      <c r="D19" s="81">
        <v>167.14</v>
      </c>
      <c r="E19" s="81">
        <v>389.97</v>
      </c>
      <c r="F19" s="81">
        <v>610.98</v>
      </c>
      <c r="G19" s="81">
        <v>147.80000000000001</v>
      </c>
      <c r="H19" s="81">
        <v>445.17</v>
      </c>
      <c r="I19" s="81">
        <v>134.33000000000001</v>
      </c>
      <c r="J19" s="81">
        <v>507.14</v>
      </c>
      <c r="K19" s="81">
        <v>269.58</v>
      </c>
      <c r="L19" s="81">
        <v>211.93</v>
      </c>
      <c r="M19" s="81">
        <v>75.17</v>
      </c>
    </row>
    <row r="20" spans="1:13" x14ac:dyDescent="0.2">
      <c r="A20" s="80">
        <v>45743</v>
      </c>
      <c r="B20" s="81">
        <v>223.85</v>
      </c>
      <c r="C20" s="81">
        <v>111.43</v>
      </c>
      <c r="D20" s="81">
        <v>164.08</v>
      </c>
      <c r="E20" s="81">
        <v>390.58</v>
      </c>
      <c r="F20" s="81">
        <v>602.58000000000004</v>
      </c>
      <c r="G20" s="81">
        <v>145.78</v>
      </c>
      <c r="H20" s="81">
        <v>442.28</v>
      </c>
      <c r="I20" s="81">
        <v>133.43</v>
      </c>
      <c r="J20" s="81">
        <v>513.82000000000005</v>
      </c>
      <c r="K20" s="81">
        <v>269.49</v>
      </c>
      <c r="L20" s="81">
        <v>212.7</v>
      </c>
      <c r="M20" s="81">
        <v>75.28</v>
      </c>
    </row>
    <row r="21" spans="1:13" x14ac:dyDescent="0.2">
      <c r="A21" s="80">
        <v>45744</v>
      </c>
      <c r="B21" s="81">
        <v>217.9</v>
      </c>
      <c r="C21" s="81">
        <v>109.67</v>
      </c>
      <c r="D21" s="81">
        <v>156.06</v>
      </c>
      <c r="E21" s="81">
        <v>378.8</v>
      </c>
      <c r="F21" s="81">
        <v>576.74</v>
      </c>
      <c r="G21" s="81">
        <v>140.87</v>
      </c>
      <c r="H21" s="81">
        <v>441.49</v>
      </c>
      <c r="I21" s="81">
        <v>131.72</v>
      </c>
      <c r="J21" s="81">
        <v>512.19000000000005</v>
      </c>
      <c r="K21" s="81">
        <v>269.08</v>
      </c>
      <c r="L21" s="81">
        <v>207.75</v>
      </c>
      <c r="M21" s="81">
        <v>73</v>
      </c>
    </row>
    <row r="22" spans="1:13" x14ac:dyDescent="0.2">
      <c r="A22" s="80">
        <v>45747</v>
      </c>
      <c r="B22" s="81">
        <v>222.13</v>
      </c>
      <c r="C22" s="81">
        <v>108.38</v>
      </c>
      <c r="D22" s="81">
        <v>156.22999999999999</v>
      </c>
      <c r="E22" s="81">
        <v>375.39</v>
      </c>
      <c r="F22" s="81">
        <v>576.36</v>
      </c>
      <c r="G22" s="81">
        <v>139.81</v>
      </c>
      <c r="H22" s="81">
        <v>446.71</v>
      </c>
      <c r="I22" s="81">
        <v>132.46</v>
      </c>
      <c r="J22" s="81">
        <v>512.01</v>
      </c>
      <c r="K22" s="81">
        <v>272.58</v>
      </c>
      <c r="L22" s="81">
        <v>209.31</v>
      </c>
      <c r="M22" s="81">
        <v>72.25</v>
      </c>
    </row>
    <row r="23" spans="1:13" x14ac:dyDescent="0.2">
      <c r="A23" s="79">
        <v>45748</v>
      </c>
      <c r="B23" s="2">
        <v>223.19</v>
      </c>
      <c r="C23" s="2">
        <v>110.15</v>
      </c>
      <c r="D23" s="2">
        <v>158.88</v>
      </c>
      <c r="E23" s="2">
        <v>382.19</v>
      </c>
      <c r="F23" s="2">
        <v>586</v>
      </c>
      <c r="G23" s="2">
        <v>141.94</v>
      </c>
      <c r="H23" s="2">
        <v>448.64</v>
      </c>
      <c r="I23" s="2">
        <v>132.85</v>
      </c>
      <c r="J23" s="2">
        <v>513.1</v>
      </c>
      <c r="K23" s="2">
        <v>274.14</v>
      </c>
      <c r="L23" s="2">
        <v>209.75</v>
      </c>
      <c r="M23" s="2">
        <v>72.16</v>
      </c>
    </row>
    <row r="24" spans="1:13" x14ac:dyDescent="0.2">
      <c r="A24" s="80">
        <v>45749</v>
      </c>
      <c r="B24" s="81">
        <v>223.89</v>
      </c>
      <c r="C24" s="81">
        <v>110.42</v>
      </c>
      <c r="D24" s="81">
        <v>158.86000000000001</v>
      </c>
      <c r="E24" s="81">
        <v>382.14</v>
      </c>
      <c r="F24" s="81">
        <v>583.92999999999995</v>
      </c>
      <c r="G24" s="81">
        <v>145.86000000000001</v>
      </c>
      <c r="H24" s="81">
        <v>452.87</v>
      </c>
      <c r="I24" s="81">
        <v>133.15</v>
      </c>
      <c r="J24" s="81">
        <v>512.17999999999995</v>
      </c>
      <c r="K24" s="81">
        <v>276.04000000000002</v>
      </c>
      <c r="L24" s="81">
        <v>211.9</v>
      </c>
      <c r="M24" s="81">
        <v>72.48</v>
      </c>
    </row>
    <row r="25" spans="1:13" x14ac:dyDescent="0.2">
      <c r="A25" s="80">
        <v>45750</v>
      </c>
      <c r="B25" s="81">
        <v>203.19</v>
      </c>
      <c r="C25" s="81">
        <v>101.8</v>
      </c>
      <c r="D25" s="81">
        <v>152.63</v>
      </c>
      <c r="E25" s="81">
        <v>373.11</v>
      </c>
      <c r="F25" s="81">
        <v>531.62</v>
      </c>
      <c r="G25" s="81">
        <v>137.22999999999999</v>
      </c>
      <c r="H25" s="81">
        <v>454.78</v>
      </c>
      <c r="I25" s="81">
        <v>130.22999999999999</v>
      </c>
      <c r="J25" s="81">
        <v>515.16999999999996</v>
      </c>
      <c r="K25" s="81">
        <v>269.62</v>
      </c>
      <c r="L25" s="81">
        <v>209.94</v>
      </c>
      <c r="M25" s="81">
        <v>66.87</v>
      </c>
    </row>
    <row r="26" spans="1:13" x14ac:dyDescent="0.2">
      <c r="A26" s="80">
        <v>45751</v>
      </c>
      <c r="B26" s="81">
        <v>188.38</v>
      </c>
      <c r="C26" s="81">
        <v>94.31</v>
      </c>
      <c r="D26" s="81">
        <v>147.74</v>
      </c>
      <c r="E26" s="81">
        <v>359.84</v>
      </c>
      <c r="F26" s="81">
        <v>504.73</v>
      </c>
      <c r="G26" s="81">
        <v>128.27000000000001</v>
      </c>
      <c r="H26" s="81">
        <v>432.15</v>
      </c>
      <c r="I26" s="81">
        <v>117.45</v>
      </c>
      <c r="J26" s="81">
        <v>485.52</v>
      </c>
      <c r="K26" s="81">
        <v>250.01</v>
      </c>
      <c r="L26" s="81">
        <v>202.06</v>
      </c>
      <c r="M26" s="81">
        <v>60.72</v>
      </c>
    </row>
    <row r="27" spans="1:13" x14ac:dyDescent="0.2">
      <c r="A27" s="80">
        <v>45754</v>
      </c>
      <c r="B27" s="81">
        <v>181.46</v>
      </c>
      <c r="C27" s="81">
        <v>97.64</v>
      </c>
      <c r="D27" s="81">
        <v>149.24</v>
      </c>
      <c r="E27" s="81">
        <v>357.86</v>
      </c>
      <c r="F27" s="81">
        <v>516.25</v>
      </c>
      <c r="G27" s="81">
        <v>127.16</v>
      </c>
      <c r="H27" s="81">
        <v>430.82</v>
      </c>
      <c r="I27" s="81">
        <v>117.32</v>
      </c>
      <c r="J27" s="81">
        <v>481.57</v>
      </c>
      <c r="K27" s="81">
        <v>247.68</v>
      </c>
      <c r="L27" s="81">
        <v>200.21</v>
      </c>
      <c r="M27" s="81">
        <v>61.09</v>
      </c>
    </row>
    <row r="28" spans="1:13" x14ac:dyDescent="0.2">
      <c r="A28" s="80">
        <v>45755</v>
      </c>
      <c r="B28" s="81">
        <v>172.42</v>
      </c>
      <c r="C28" s="81">
        <v>96.3</v>
      </c>
      <c r="D28" s="81">
        <v>146.58000000000001</v>
      </c>
      <c r="E28" s="81">
        <v>354.56</v>
      </c>
      <c r="F28" s="81">
        <v>510.45</v>
      </c>
      <c r="G28" s="81">
        <v>124.5</v>
      </c>
      <c r="H28" s="81">
        <v>443.36</v>
      </c>
      <c r="I28" s="81">
        <v>120.46</v>
      </c>
      <c r="J28" s="81">
        <v>491.97</v>
      </c>
      <c r="K28" s="81">
        <v>254.4</v>
      </c>
      <c r="L28" s="81">
        <v>200.75</v>
      </c>
      <c r="M28" s="81">
        <v>60.93</v>
      </c>
    </row>
    <row r="29" spans="1:13" x14ac:dyDescent="0.2">
      <c r="A29" s="80">
        <v>45756</v>
      </c>
      <c r="B29" s="81">
        <v>198.85</v>
      </c>
      <c r="C29" s="81">
        <v>114.33</v>
      </c>
      <c r="D29" s="81">
        <v>161.06</v>
      </c>
      <c r="E29" s="81">
        <v>390.49</v>
      </c>
      <c r="F29" s="81">
        <v>585.77</v>
      </c>
      <c r="G29" s="81">
        <v>139.69</v>
      </c>
      <c r="H29" s="81">
        <v>462.24</v>
      </c>
      <c r="I29" s="81">
        <v>128.43</v>
      </c>
      <c r="J29" s="81">
        <v>512.29999999999995</v>
      </c>
      <c r="K29" s="81">
        <v>271.52</v>
      </c>
      <c r="L29" s="81">
        <v>214.35</v>
      </c>
      <c r="M29" s="81">
        <v>66.78</v>
      </c>
    </row>
    <row r="30" spans="1:13" x14ac:dyDescent="0.2">
      <c r="A30" s="80">
        <v>45757</v>
      </c>
      <c r="B30" s="81">
        <v>190.42</v>
      </c>
      <c r="C30" s="81">
        <v>107.57</v>
      </c>
      <c r="D30" s="81">
        <v>155.37</v>
      </c>
      <c r="E30" s="81">
        <v>381.35</v>
      </c>
      <c r="F30" s="81">
        <v>546.29</v>
      </c>
      <c r="G30" s="81">
        <v>133.35</v>
      </c>
      <c r="H30" s="81">
        <v>463.7</v>
      </c>
      <c r="I30" s="81">
        <v>127.07</v>
      </c>
      <c r="J30" s="81">
        <v>516.09</v>
      </c>
      <c r="K30" s="81">
        <v>271.82</v>
      </c>
      <c r="L30" s="81">
        <v>213.51</v>
      </c>
      <c r="M30" s="81">
        <v>64.52</v>
      </c>
    </row>
    <row r="31" spans="1:13" x14ac:dyDescent="0.2">
      <c r="A31" s="80">
        <v>45758</v>
      </c>
      <c r="B31" s="81">
        <v>198.15</v>
      </c>
      <c r="C31" s="81">
        <v>110.93</v>
      </c>
      <c r="D31" s="81">
        <v>159.4</v>
      </c>
      <c r="E31" s="81">
        <v>388.45</v>
      </c>
      <c r="F31" s="81">
        <v>543.57000000000005</v>
      </c>
      <c r="G31" s="81">
        <v>132.35</v>
      </c>
      <c r="H31" s="81">
        <v>474.9</v>
      </c>
      <c r="I31" s="81">
        <v>128.26</v>
      </c>
      <c r="J31" s="81">
        <v>533.99</v>
      </c>
      <c r="K31" s="81">
        <v>276.64999999999998</v>
      </c>
      <c r="L31" s="81">
        <v>222.03</v>
      </c>
      <c r="M31" s="81">
        <v>65.680000000000007</v>
      </c>
    </row>
    <row r="32" spans="1:13" x14ac:dyDescent="0.2">
      <c r="A32" s="80">
        <v>45761</v>
      </c>
      <c r="B32" s="81">
        <v>202.52</v>
      </c>
      <c r="C32" s="81">
        <v>110.71</v>
      </c>
      <c r="D32" s="81">
        <v>161.47</v>
      </c>
      <c r="E32" s="81">
        <v>387.81</v>
      </c>
      <c r="F32" s="81">
        <v>531.48</v>
      </c>
      <c r="G32" s="81">
        <v>134.63999999999999</v>
      </c>
      <c r="H32" s="81">
        <v>475.34</v>
      </c>
      <c r="I32" s="81">
        <v>129.13999999999999</v>
      </c>
      <c r="J32" s="81">
        <v>535.82000000000005</v>
      </c>
      <c r="K32" s="81">
        <v>278.77999999999997</v>
      </c>
      <c r="L32" s="81">
        <v>222.69</v>
      </c>
      <c r="M32" s="81">
        <v>65.989999999999995</v>
      </c>
    </row>
    <row r="33" spans="1:13" x14ac:dyDescent="0.2">
      <c r="A33" s="80">
        <v>45762</v>
      </c>
      <c r="B33" s="81">
        <v>202.14</v>
      </c>
      <c r="C33" s="81">
        <v>112.2</v>
      </c>
      <c r="D33" s="81">
        <v>158.68</v>
      </c>
      <c r="E33" s="81">
        <v>385.73</v>
      </c>
      <c r="F33" s="81">
        <v>521.52</v>
      </c>
      <c r="G33" s="81">
        <v>133.94</v>
      </c>
      <c r="H33" s="81">
        <v>469.58</v>
      </c>
      <c r="I33" s="81">
        <v>128.63999999999999</v>
      </c>
      <c r="J33" s="81">
        <v>529.36</v>
      </c>
      <c r="K33" s="81">
        <v>277.14</v>
      </c>
      <c r="L33" s="81">
        <v>220.95</v>
      </c>
      <c r="M33" s="81">
        <v>65.42</v>
      </c>
    </row>
    <row r="34" spans="1:13" x14ac:dyDescent="0.2">
      <c r="A34" s="80">
        <v>45763</v>
      </c>
      <c r="B34" s="81">
        <v>194.27</v>
      </c>
      <c r="C34" s="81">
        <v>104.49</v>
      </c>
      <c r="D34" s="81">
        <v>155.5</v>
      </c>
      <c r="E34" s="81">
        <v>371.61</v>
      </c>
      <c r="F34" s="81">
        <v>502.31</v>
      </c>
      <c r="G34" s="81">
        <v>129.76</v>
      </c>
      <c r="H34" s="81">
        <v>477.08</v>
      </c>
      <c r="I34" s="81">
        <v>129.25</v>
      </c>
      <c r="J34" s="81">
        <v>537.51</v>
      </c>
      <c r="K34" s="81">
        <v>276.63</v>
      </c>
      <c r="L34" s="81">
        <v>218.88</v>
      </c>
      <c r="M34" s="81">
        <v>64.98</v>
      </c>
    </row>
    <row r="35" spans="1:13" x14ac:dyDescent="0.2">
      <c r="A35" s="80">
        <v>45764</v>
      </c>
      <c r="B35" s="81">
        <v>196.98</v>
      </c>
      <c r="C35" s="81">
        <v>101.49</v>
      </c>
      <c r="D35" s="81">
        <v>153.36000000000001</v>
      </c>
      <c r="E35" s="81">
        <v>367.78</v>
      </c>
      <c r="F35" s="81">
        <v>501.48</v>
      </c>
      <c r="G35" s="81">
        <v>128.62</v>
      </c>
      <c r="H35" s="81">
        <v>464.08</v>
      </c>
      <c r="I35" s="81">
        <v>128.88999999999999</v>
      </c>
      <c r="J35" s="81">
        <v>540.39</v>
      </c>
      <c r="K35" s="81">
        <v>276.08</v>
      </c>
      <c r="L35" s="81">
        <v>218.22</v>
      </c>
      <c r="M35" s="81">
        <v>66.040000000000006</v>
      </c>
    </row>
    <row r="36" spans="1:13" x14ac:dyDescent="0.2">
      <c r="A36" s="80">
        <v>45768</v>
      </c>
      <c r="B36" s="81">
        <v>193.16</v>
      </c>
      <c r="C36" s="81">
        <v>96.91</v>
      </c>
      <c r="D36" s="81">
        <v>149.86000000000001</v>
      </c>
      <c r="E36" s="81">
        <v>359.12</v>
      </c>
      <c r="F36" s="81">
        <v>484.66</v>
      </c>
      <c r="G36" s="81">
        <v>122.82</v>
      </c>
      <c r="H36" s="81">
        <v>458.33</v>
      </c>
      <c r="I36" s="81">
        <v>126.12</v>
      </c>
      <c r="J36" s="81">
        <v>531.33000000000004</v>
      </c>
      <c r="K36" s="81">
        <v>273.18</v>
      </c>
      <c r="L36" s="81">
        <v>214.12</v>
      </c>
      <c r="M36" s="81">
        <v>64.58</v>
      </c>
    </row>
    <row r="37" spans="1:13" x14ac:dyDescent="0.2">
      <c r="A37" s="80">
        <v>45769</v>
      </c>
      <c r="B37" s="81">
        <v>199.74</v>
      </c>
      <c r="C37" s="81">
        <v>98.89</v>
      </c>
      <c r="D37" s="81">
        <v>153.9</v>
      </c>
      <c r="E37" s="81">
        <v>366.82</v>
      </c>
      <c r="F37" s="81">
        <v>500.28</v>
      </c>
      <c r="G37" s="81">
        <v>127.24</v>
      </c>
      <c r="H37" s="81">
        <v>462.08</v>
      </c>
      <c r="I37" s="81">
        <v>113.75</v>
      </c>
      <c r="J37" s="81">
        <v>464.08</v>
      </c>
      <c r="K37" s="81">
        <v>274.8</v>
      </c>
      <c r="L37" s="81">
        <v>215.08</v>
      </c>
      <c r="M37" s="81">
        <v>65.45</v>
      </c>
    </row>
    <row r="38" spans="1:13" x14ac:dyDescent="0.2">
      <c r="A38" s="80">
        <v>45770</v>
      </c>
      <c r="B38" s="81">
        <v>204.6</v>
      </c>
      <c r="C38" s="81">
        <v>102.71</v>
      </c>
      <c r="D38" s="81">
        <v>157.72</v>
      </c>
      <c r="E38" s="81">
        <v>374.39</v>
      </c>
      <c r="F38" s="81">
        <v>520.27</v>
      </c>
      <c r="G38" s="81">
        <v>131.4</v>
      </c>
      <c r="H38" s="81">
        <v>463.55</v>
      </c>
      <c r="I38" s="81">
        <v>120.28</v>
      </c>
      <c r="J38" s="81">
        <v>472.65</v>
      </c>
      <c r="K38" s="81">
        <v>265.73</v>
      </c>
      <c r="L38" s="81">
        <v>216.31</v>
      </c>
      <c r="M38" s="81">
        <v>66.23</v>
      </c>
    </row>
    <row r="39" spans="1:13" x14ac:dyDescent="0.2">
      <c r="A39" s="80">
        <v>45771</v>
      </c>
      <c r="B39" s="81">
        <v>208.37</v>
      </c>
      <c r="C39" s="81">
        <v>106.43</v>
      </c>
      <c r="D39" s="81">
        <v>161.47</v>
      </c>
      <c r="E39" s="81">
        <v>387.3</v>
      </c>
      <c r="F39" s="81">
        <v>533.15</v>
      </c>
      <c r="G39" s="81">
        <v>137.51</v>
      </c>
      <c r="H39" s="81">
        <v>466.81</v>
      </c>
      <c r="I39" s="81">
        <v>121.97</v>
      </c>
      <c r="J39" s="81">
        <v>463.07</v>
      </c>
      <c r="K39" s="81">
        <v>271.70999999999998</v>
      </c>
      <c r="L39" s="81">
        <v>216.27</v>
      </c>
      <c r="M39" s="81">
        <v>67.930000000000007</v>
      </c>
    </row>
    <row r="40" spans="1:13" x14ac:dyDescent="0.2">
      <c r="A40" s="80">
        <v>45772</v>
      </c>
      <c r="B40" s="81">
        <v>209.28</v>
      </c>
      <c r="C40" s="81">
        <v>111.01</v>
      </c>
      <c r="D40" s="81">
        <v>163.85</v>
      </c>
      <c r="E40" s="81">
        <v>391.85</v>
      </c>
      <c r="F40" s="81">
        <v>547.27</v>
      </c>
      <c r="G40" s="81">
        <v>138.49</v>
      </c>
      <c r="H40" s="81">
        <v>477.64</v>
      </c>
      <c r="I40" s="81">
        <v>125.22</v>
      </c>
      <c r="J40" s="81">
        <v>473.2</v>
      </c>
      <c r="K40" s="81">
        <v>271.97000000000003</v>
      </c>
      <c r="L40" s="81">
        <v>216.08</v>
      </c>
      <c r="M40" s="81">
        <v>68.42</v>
      </c>
    </row>
    <row r="41" spans="1:13" x14ac:dyDescent="0.2">
      <c r="A41" s="80">
        <v>45775</v>
      </c>
      <c r="B41" s="81">
        <v>210.14</v>
      </c>
      <c r="C41" s="81">
        <v>108.73</v>
      </c>
      <c r="D41" s="81">
        <v>162.41999999999999</v>
      </c>
      <c r="E41" s="81">
        <v>391.16</v>
      </c>
      <c r="F41" s="81">
        <v>549.74</v>
      </c>
      <c r="G41" s="81">
        <v>140.13999999999999</v>
      </c>
      <c r="H41" s="81">
        <v>476.29</v>
      </c>
      <c r="I41" s="81">
        <v>124.8</v>
      </c>
      <c r="J41" s="81">
        <v>483.31</v>
      </c>
      <c r="K41" s="81">
        <v>271.94</v>
      </c>
      <c r="L41" s="81">
        <v>218.76</v>
      </c>
      <c r="M41" s="81">
        <v>69.38</v>
      </c>
    </row>
    <row r="42" spans="1:13" x14ac:dyDescent="0.2">
      <c r="A42" s="80">
        <v>45776</v>
      </c>
      <c r="B42" s="81">
        <v>211.21</v>
      </c>
      <c r="C42" s="81">
        <v>109.02</v>
      </c>
      <c r="D42" s="81">
        <v>162.06</v>
      </c>
      <c r="E42" s="81">
        <v>394.04</v>
      </c>
      <c r="F42" s="81">
        <v>554.44000000000005</v>
      </c>
      <c r="G42" s="81">
        <v>140.79</v>
      </c>
      <c r="H42" s="81">
        <v>475.88</v>
      </c>
      <c r="I42" s="81">
        <v>125.73</v>
      </c>
      <c r="J42" s="81">
        <v>482.1</v>
      </c>
      <c r="K42" s="81">
        <v>272.08</v>
      </c>
      <c r="L42" s="81">
        <v>221.23</v>
      </c>
      <c r="M42" s="81">
        <v>69.98</v>
      </c>
    </row>
    <row r="43" spans="1:13" x14ac:dyDescent="0.2">
      <c r="A43" s="80">
        <v>45777</v>
      </c>
      <c r="B43" s="81">
        <v>212.5</v>
      </c>
      <c r="C43" s="81">
        <v>108.92</v>
      </c>
      <c r="D43" s="81">
        <v>160.88999999999999</v>
      </c>
      <c r="E43" s="81">
        <v>395.26</v>
      </c>
      <c r="F43" s="81">
        <v>549</v>
      </c>
      <c r="G43" s="81">
        <v>140.72</v>
      </c>
      <c r="H43" s="81">
        <v>477.75</v>
      </c>
      <c r="I43" s="81">
        <v>126.13</v>
      </c>
      <c r="J43" s="81">
        <v>486.5</v>
      </c>
      <c r="K43" s="81">
        <v>272.12</v>
      </c>
      <c r="L43" s="81">
        <v>220.02</v>
      </c>
      <c r="M43" s="81">
        <v>70.37</v>
      </c>
    </row>
    <row r="44" spans="1:13" x14ac:dyDescent="0.2">
      <c r="A44" s="79">
        <v>45778</v>
      </c>
      <c r="B44" s="2">
        <v>213.32</v>
      </c>
      <c r="C44" s="2">
        <v>111.61</v>
      </c>
      <c r="D44" s="2">
        <v>162.79</v>
      </c>
      <c r="E44" s="2">
        <v>425.4</v>
      </c>
      <c r="F44" s="2">
        <v>572.21</v>
      </c>
      <c r="G44" s="2">
        <v>145.49</v>
      </c>
      <c r="H44" s="2">
        <v>477.72</v>
      </c>
      <c r="I44" s="2">
        <v>127.41</v>
      </c>
      <c r="J44" s="2">
        <v>486.67</v>
      </c>
      <c r="K44" s="2">
        <v>271.51</v>
      </c>
      <c r="L44" s="2">
        <v>219.91</v>
      </c>
      <c r="M44" s="2">
        <v>70.27</v>
      </c>
    </row>
    <row r="45" spans="1:13" x14ac:dyDescent="0.2">
      <c r="A45" s="80">
        <v>45779</v>
      </c>
      <c r="B45" s="81">
        <v>205.35</v>
      </c>
      <c r="C45" s="81">
        <v>114.5</v>
      </c>
      <c r="D45" s="81">
        <v>165.81</v>
      </c>
      <c r="E45" s="81">
        <v>435.28</v>
      </c>
      <c r="F45" s="81">
        <v>597.02</v>
      </c>
      <c r="G45" s="81">
        <v>150.72999999999999</v>
      </c>
      <c r="H45" s="81">
        <v>472.8</v>
      </c>
      <c r="I45" s="81">
        <v>130.21</v>
      </c>
      <c r="J45" s="81">
        <v>491.42</v>
      </c>
      <c r="K45" s="81">
        <v>273.02999999999997</v>
      </c>
      <c r="L45" s="81">
        <v>219.75</v>
      </c>
      <c r="M45" s="81">
        <v>71.02</v>
      </c>
    </row>
    <row r="46" spans="1:13" x14ac:dyDescent="0.2">
      <c r="A46" s="80">
        <v>45782</v>
      </c>
      <c r="B46" s="81">
        <v>198.89</v>
      </c>
      <c r="C46" s="81">
        <v>113.82</v>
      </c>
      <c r="D46" s="81">
        <v>166.05</v>
      </c>
      <c r="E46" s="81">
        <v>436.17</v>
      </c>
      <c r="F46" s="81">
        <v>599.27</v>
      </c>
      <c r="G46" s="81">
        <v>149.29</v>
      </c>
      <c r="H46" s="81">
        <v>471.56</v>
      </c>
      <c r="I46" s="81">
        <v>128.59</v>
      </c>
      <c r="J46" s="81">
        <v>493.33</v>
      </c>
      <c r="K46" s="81">
        <v>272.14</v>
      </c>
      <c r="L46" s="81">
        <v>218.62</v>
      </c>
      <c r="M46" s="81">
        <v>70.489999999999995</v>
      </c>
    </row>
    <row r="47" spans="1:13" x14ac:dyDescent="0.2">
      <c r="A47" s="80">
        <v>45783</v>
      </c>
      <c r="B47" s="81">
        <v>198.51</v>
      </c>
      <c r="C47" s="81">
        <v>113.54</v>
      </c>
      <c r="D47" s="81">
        <v>165.2</v>
      </c>
      <c r="E47" s="81">
        <v>433.31</v>
      </c>
      <c r="F47" s="81">
        <v>587.30999999999995</v>
      </c>
      <c r="G47" s="81">
        <v>147.69999999999999</v>
      </c>
      <c r="H47" s="81">
        <v>468.21</v>
      </c>
      <c r="I47" s="81">
        <v>128.16</v>
      </c>
      <c r="J47" s="81">
        <v>487.48</v>
      </c>
      <c r="K47" s="81">
        <v>270.61</v>
      </c>
      <c r="L47" s="81">
        <v>216.19</v>
      </c>
      <c r="M47" s="81">
        <v>69.489999999999995</v>
      </c>
    </row>
    <row r="48" spans="1:13" x14ac:dyDescent="0.2">
      <c r="A48" s="80">
        <v>45784</v>
      </c>
      <c r="B48" s="81">
        <v>196.25</v>
      </c>
      <c r="C48" s="81">
        <v>117.06</v>
      </c>
      <c r="D48" s="81">
        <v>152.80000000000001</v>
      </c>
      <c r="E48" s="81">
        <v>433.35</v>
      </c>
      <c r="F48" s="81">
        <v>596.80999999999995</v>
      </c>
      <c r="G48" s="81">
        <v>149.37</v>
      </c>
      <c r="H48" s="81">
        <v>471.32</v>
      </c>
      <c r="I48" s="81">
        <v>127.5</v>
      </c>
      <c r="J48" s="81">
        <v>486.04</v>
      </c>
      <c r="K48" s="81">
        <v>269.45</v>
      </c>
      <c r="L48" s="81">
        <v>218</v>
      </c>
      <c r="M48" s="81">
        <v>70</v>
      </c>
    </row>
    <row r="49" spans="1:13" x14ac:dyDescent="0.2">
      <c r="A49" s="80">
        <v>45785</v>
      </c>
      <c r="B49" s="81">
        <v>197.49</v>
      </c>
      <c r="C49" s="81">
        <v>117.37</v>
      </c>
      <c r="D49" s="81">
        <v>155.75</v>
      </c>
      <c r="E49" s="81">
        <v>438.17</v>
      </c>
      <c r="F49" s="81">
        <v>598.01</v>
      </c>
      <c r="G49" s="81">
        <v>150.30000000000001</v>
      </c>
      <c r="H49" s="81">
        <v>474.53</v>
      </c>
      <c r="I49" s="81">
        <v>128.66999999999999</v>
      </c>
      <c r="J49" s="81">
        <v>484.37</v>
      </c>
      <c r="K49" s="81">
        <v>271.98</v>
      </c>
      <c r="L49" s="81">
        <v>218.39</v>
      </c>
      <c r="M49" s="81">
        <v>72.22</v>
      </c>
    </row>
    <row r="50" spans="1:13" x14ac:dyDescent="0.2">
      <c r="A50" s="80">
        <v>45786</v>
      </c>
      <c r="B50" s="81">
        <v>198.53</v>
      </c>
      <c r="C50" s="81">
        <v>116.65</v>
      </c>
      <c r="D50" s="81">
        <v>154.38</v>
      </c>
      <c r="E50" s="81">
        <v>438.73</v>
      </c>
      <c r="F50" s="81">
        <v>592.49</v>
      </c>
      <c r="G50" s="81">
        <v>150.34</v>
      </c>
      <c r="H50" s="81">
        <v>473.52</v>
      </c>
      <c r="I50" s="81">
        <v>128.66999999999999</v>
      </c>
      <c r="J50" s="81">
        <v>482.62</v>
      </c>
      <c r="K50" s="81">
        <v>271.56</v>
      </c>
      <c r="L50" s="81">
        <v>219.39</v>
      </c>
      <c r="M50" s="81">
        <v>72.41</v>
      </c>
    </row>
    <row r="51" spans="1:13" x14ac:dyDescent="0.2">
      <c r="A51" s="80">
        <v>45789</v>
      </c>
      <c r="B51" s="81">
        <v>210.79</v>
      </c>
      <c r="C51" s="81">
        <v>123</v>
      </c>
      <c r="D51" s="81">
        <v>159.58000000000001</v>
      </c>
      <c r="E51" s="81">
        <v>449.26</v>
      </c>
      <c r="F51" s="81">
        <v>639.42999999999995</v>
      </c>
      <c r="G51" s="81">
        <v>157.22</v>
      </c>
      <c r="H51" s="81">
        <v>473.16</v>
      </c>
      <c r="I51" s="81">
        <v>130.56</v>
      </c>
      <c r="J51" s="81">
        <v>479.16</v>
      </c>
      <c r="K51" s="81">
        <v>276.24</v>
      </c>
      <c r="L51" s="81">
        <v>218.96</v>
      </c>
      <c r="M51" s="81">
        <v>76.8</v>
      </c>
    </row>
    <row r="52" spans="1:13" x14ac:dyDescent="0.2">
      <c r="A52" s="80">
        <v>45790</v>
      </c>
      <c r="B52" s="81">
        <v>212.93</v>
      </c>
      <c r="C52" s="81">
        <v>129.93</v>
      </c>
      <c r="D52" s="81">
        <v>160.88999999999999</v>
      </c>
      <c r="E52" s="81">
        <v>449.14</v>
      </c>
      <c r="F52" s="81">
        <v>656.03</v>
      </c>
      <c r="G52" s="81">
        <v>162.27000000000001</v>
      </c>
      <c r="H52" s="81">
        <v>459.83</v>
      </c>
      <c r="I52" s="81">
        <v>130.72</v>
      </c>
      <c r="J52" s="81">
        <v>470.67</v>
      </c>
      <c r="K52" s="81">
        <v>273.02</v>
      </c>
      <c r="L52" s="81">
        <v>218.37</v>
      </c>
      <c r="M52" s="81">
        <v>76.52</v>
      </c>
    </row>
    <row r="53" spans="1:13" x14ac:dyDescent="0.2">
      <c r="A53" s="80">
        <v>45791</v>
      </c>
      <c r="B53" s="81">
        <v>212.33</v>
      </c>
      <c r="C53" s="81">
        <v>135.34</v>
      </c>
      <c r="D53" s="81">
        <v>166.81</v>
      </c>
      <c r="E53" s="81">
        <v>452.94</v>
      </c>
      <c r="F53" s="81">
        <v>659.36</v>
      </c>
      <c r="G53" s="81">
        <v>162.94999999999999</v>
      </c>
      <c r="H53" s="81">
        <v>449.18</v>
      </c>
      <c r="I53" s="81">
        <v>130.79</v>
      </c>
      <c r="J53" s="81">
        <v>456.3</v>
      </c>
      <c r="K53" s="81">
        <v>270.69</v>
      </c>
      <c r="L53" s="81">
        <v>219.65</v>
      </c>
      <c r="M53" s="81">
        <v>75.209999999999994</v>
      </c>
    </row>
    <row r="54" spans="1:13" x14ac:dyDescent="0.2">
      <c r="A54" s="80">
        <v>45792</v>
      </c>
      <c r="B54" s="81">
        <v>211.45</v>
      </c>
      <c r="C54" s="81">
        <v>134.83000000000001</v>
      </c>
      <c r="D54" s="81">
        <v>165.4</v>
      </c>
      <c r="E54" s="81">
        <v>453.13</v>
      </c>
      <c r="F54" s="81">
        <v>643.88</v>
      </c>
      <c r="G54" s="81">
        <v>159.4</v>
      </c>
      <c r="H54" s="81">
        <v>465.14</v>
      </c>
      <c r="I54" s="81">
        <v>135.52000000000001</v>
      </c>
      <c r="J54" s="81">
        <v>469.05</v>
      </c>
      <c r="K54" s="81">
        <v>278.51</v>
      </c>
      <c r="L54" s="81">
        <v>226.86</v>
      </c>
      <c r="M54" s="81">
        <v>76</v>
      </c>
    </row>
    <row r="55" spans="1:13" x14ac:dyDescent="0.2">
      <c r="A55" s="80">
        <v>45793</v>
      </c>
      <c r="B55" s="81">
        <v>211.26</v>
      </c>
      <c r="C55" s="81">
        <v>135.4</v>
      </c>
      <c r="D55" s="81">
        <v>167.43</v>
      </c>
      <c r="E55" s="81">
        <v>454.27</v>
      </c>
      <c r="F55" s="81">
        <v>640.34</v>
      </c>
      <c r="G55" s="81">
        <v>160.49</v>
      </c>
      <c r="H55" s="81">
        <v>468.32</v>
      </c>
      <c r="I55" s="81">
        <v>135.47999999999999</v>
      </c>
      <c r="J55" s="81">
        <v>473.17</v>
      </c>
      <c r="K55" s="81">
        <v>280.70999999999998</v>
      </c>
      <c r="L55" s="81">
        <v>230.2</v>
      </c>
      <c r="M55" s="81">
        <v>76.680000000000007</v>
      </c>
    </row>
    <row r="56" spans="1:13" x14ac:dyDescent="0.2">
      <c r="A56" s="80">
        <v>45796</v>
      </c>
      <c r="B56" s="81">
        <v>208.78</v>
      </c>
      <c r="C56" s="81">
        <v>135.57</v>
      </c>
      <c r="D56" s="81">
        <v>167.87</v>
      </c>
      <c r="E56" s="81">
        <v>458.87</v>
      </c>
      <c r="F56" s="81">
        <v>640.42999999999995</v>
      </c>
      <c r="G56" s="81">
        <v>159.63999999999999</v>
      </c>
      <c r="H56" s="81">
        <v>473.06</v>
      </c>
      <c r="I56" s="81">
        <v>137.19999999999999</v>
      </c>
      <c r="J56" s="81">
        <v>471.12</v>
      </c>
      <c r="K56" s="81">
        <v>281.37</v>
      </c>
      <c r="L56" s="81">
        <v>230.97</v>
      </c>
      <c r="M56" s="81">
        <v>76.42</v>
      </c>
    </row>
    <row r="57" spans="1:13" x14ac:dyDescent="0.2">
      <c r="A57" s="80">
        <v>45797</v>
      </c>
      <c r="B57" s="81">
        <v>206.86</v>
      </c>
      <c r="C57" s="81">
        <v>134.38</v>
      </c>
      <c r="D57" s="81">
        <v>165.32</v>
      </c>
      <c r="E57" s="81">
        <v>458.17</v>
      </c>
      <c r="F57" s="81">
        <v>637.1</v>
      </c>
      <c r="G57" s="81">
        <v>160.31</v>
      </c>
      <c r="H57" s="81">
        <v>475.82</v>
      </c>
      <c r="I57" s="81">
        <v>137.18</v>
      </c>
      <c r="J57" s="81">
        <v>476.6</v>
      </c>
      <c r="K57" s="81">
        <v>281.57</v>
      </c>
      <c r="L57" s="81">
        <v>230.82</v>
      </c>
      <c r="M57" s="81">
        <v>76.05</v>
      </c>
    </row>
    <row r="58" spans="1:13" x14ac:dyDescent="0.2">
      <c r="A58" s="80">
        <v>45798</v>
      </c>
      <c r="B58" s="81">
        <v>202.09</v>
      </c>
      <c r="C58" s="81">
        <v>131.80000000000001</v>
      </c>
      <c r="D58" s="81">
        <v>170.06</v>
      </c>
      <c r="E58" s="81">
        <v>452.57</v>
      </c>
      <c r="F58" s="81">
        <v>635.5</v>
      </c>
      <c r="G58" s="81">
        <v>157.18</v>
      </c>
      <c r="H58" s="81">
        <v>470.28</v>
      </c>
      <c r="I58" s="81">
        <v>134.94999999999999</v>
      </c>
      <c r="J58" s="81">
        <v>473.9</v>
      </c>
      <c r="K58" s="81">
        <v>277.7</v>
      </c>
      <c r="L58" s="81">
        <v>232.59</v>
      </c>
      <c r="M58" s="81">
        <v>73.38</v>
      </c>
    </row>
    <row r="59" spans="1:13" x14ac:dyDescent="0.2">
      <c r="A59" s="80">
        <v>45799</v>
      </c>
      <c r="B59" s="81">
        <v>201.36</v>
      </c>
      <c r="C59" s="81">
        <v>132.83000000000001</v>
      </c>
      <c r="D59" s="81">
        <v>171.98</v>
      </c>
      <c r="E59" s="81">
        <v>454.86</v>
      </c>
      <c r="F59" s="81">
        <v>636.57000000000005</v>
      </c>
      <c r="G59" s="81">
        <v>157.31</v>
      </c>
      <c r="H59" s="81">
        <v>470.45</v>
      </c>
      <c r="I59" s="81">
        <v>134.07</v>
      </c>
      <c r="J59" s="81">
        <v>472.88</v>
      </c>
      <c r="K59" s="81">
        <v>277.02999999999997</v>
      </c>
      <c r="L59" s="81">
        <v>239.19</v>
      </c>
      <c r="M59" s="81">
        <v>73.48</v>
      </c>
    </row>
    <row r="60" spans="1:13" x14ac:dyDescent="0.2">
      <c r="A60" s="80">
        <v>45800</v>
      </c>
      <c r="B60" s="81">
        <v>195.27</v>
      </c>
      <c r="C60" s="81">
        <v>131.29</v>
      </c>
      <c r="D60" s="81">
        <v>169.59</v>
      </c>
      <c r="E60" s="81">
        <v>450.18</v>
      </c>
      <c r="F60" s="81">
        <v>627.05999999999995</v>
      </c>
      <c r="G60" s="81">
        <v>155.97</v>
      </c>
      <c r="H60" s="81">
        <v>468.88</v>
      </c>
      <c r="I60" s="81">
        <v>132.35</v>
      </c>
      <c r="J60" s="81">
        <v>471.46</v>
      </c>
      <c r="K60" s="81">
        <v>274.75</v>
      </c>
      <c r="L60" s="81">
        <v>237.49</v>
      </c>
      <c r="M60" s="81">
        <v>72.92</v>
      </c>
    </row>
    <row r="61" spans="1:13" x14ac:dyDescent="0.2">
      <c r="A61" s="80">
        <v>45804</v>
      </c>
      <c r="B61" s="81">
        <v>200.21</v>
      </c>
      <c r="C61" s="81">
        <v>135.5</v>
      </c>
      <c r="D61" s="81">
        <v>173.98</v>
      </c>
      <c r="E61" s="81">
        <v>460.69</v>
      </c>
      <c r="F61" s="81">
        <v>642.32000000000005</v>
      </c>
      <c r="G61" s="81">
        <v>161.91</v>
      </c>
      <c r="H61" s="81">
        <v>476.85</v>
      </c>
      <c r="I61" s="81">
        <v>134.19</v>
      </c>
      <c r="J61" s="81">
        <v>475.47</v>
      </c>
      <c r="K61" s="81">
        <v>279.23</v>
      </c>
      <c r="L61" s="81">
        <v>247.9</v>
      </c>
      <c r="M61" s="81">
        <v>74.709999999999994</v>
      </c>
    </row>
    <row r="62" spans="1:13" x14ac:dyDescent="0.2">
      <c r="A62" s="80">
        <v>45805</v>
      </c>
      <c r="B62" s="81">
        <v>200.42</v>
      </c>
      <c r="C62" s="81">
        <v>134.81</v>
      </c>
      <c r="D62" s="81">
        <v>173.38</v>
      </c>
      <c r="E62" s="81">
        <v>457.36</v>
      </c>
      <c r="F62" s="81">
        <v>643.58000000000004</v>
      </c>
      <c r="G62" s="81">
        <v>163.85</v>
      </c>
      <c r="H62" s="81">
        <v>469.98</v>
      </c>
      <c r="I62" s="81">
        <v>132.85</v>
      </c>
      <c r="J62" s="81">
        <v>475.32</v>
      </c>
      <c r="K62" s="81">
        <v>273.64</v>
      </c>
      <c r="L62" s="81">
        <v>244.37</v>
      </c>
      <c r="M62" s="81">
        <v>73.989999999999995</v>
      </c>
    </row>
    <row r="63" spans="1:13" x14ac:dyDescent="0.2">
      <c r="A63" s="80">
        <v>45806</v>
      </c>
      <c r="B63" s="81">
        <v>199.95</v>
      </c>
      <c r="C63" s="81">
        <v>139.19</v>
      </c>
      <c r="D63" s="81">
        <v>172.96</v>
      </c>
      <c r="E63" s="81">
        <v>458.68</v>
      </c>
      <c r="F63" s="81">
        <v>645.04999999999995</v>
      </c>
      <c r="G63" s="81">
        <v>162.9</v>
      </c>
      <c r="H63" s="81">
        <v>473.69</v>
      </c>
      <c r="I63" s="81">
        <v>134.80000000000001</v>
      </c>
      <c r="J63" s="81">
        <v>479.39</v>
      </c>
      <c r="K63" s="81">
        <v>275.2</v>
      </c>
      <c r="L63" s="81">
        <v>243.42</v>
      </c>
      <c r="M63" s="81">
        <v>74</v>
      </c>
    </row>
    <row r="64" spans="1:13" x14ac:dyDescent="0.2">
      <c r="A64" s="80">
        <v>45807</v>
      </c>
      <c r="B64" s="81">
        <v>200.85</v>
      </c>
      <c r="C64" s="81">
        <v>135.13</v>
      </c>
      <c r="D64" s="81">
        <v>172.85</v>
      </c>
      <c r="E64" s="81">
        <v>460.36</v>
      </c>
      <c r="F64" s="81">
        <v>647.49</v>
      </c>
      <c r="G64" s="81">
        <v>165.53</v>
      </c>
      <c r="H64" s="81">
        <v>482.38</v>
      </c>
      <c r="I64" s="81">
        <v>136.47999999999999</v>
      </c>
      <c r="J64" s="81">
        <v>484.77</v>
      </c>
      <c r="K64" s="81">
        <v>278.49</v>
      </c>
      <c r="L64" s="81">
        <v>244.34</v>
      </c>
      <c r="M64" s="81">
        <v>74.03</v>
      </c>
    </row>
    <row r="65" spans="1:13" x14ac:dyDescent="0.2">
      <c r="A65" s="79">
        <v>45810</v>
      </c>
      <c r="B65" s="2">
        <v>201.7</v>
      </c>
      <c r="C65" s="2">
        <v>137.38</v>
      </c>
      <c r="D65" s="2">
        <v>170.37</v>
      </c>
      <c r="E65" s="2">
        <v>461.97</v>
      </c>
      <c r="F65" s="2">
        <v>670.9</v>
      </c>
      <c r="G65" s="2">
        <v>166.57</v>
      </c>
      <c r="H65" s="2">
        <v>478.82</v>
      </c>
      <c r="I65" s="2">
        <v>137.46</v>
      </c>
      <c r="J65" s="2">
        <v>483.38</v>
      </c>
      <c r="K65" s="2">
        <v>275.70999999999998</v>
      </c>
      <c r="L65" s="2">
        <v>243.16</v>
      </c>
      <c r="M65" s="2">
        <v>73.53</v>
      </c>
    </row>
    <row r="66" spans="1:13" x14ac:dyDescent="0.2">
      <c r="A66" s="80">
        <v>45811</v>
      </c>
      <c r="B66" s="81">
        <v>203.27</v>
      </c>
      <c r="C66" s="81">
        <v>141.22</v>
      </c>
      <c r="D66" s="81">
        <v>167.71</v>
      </c>
      <c r="E66" s="81">
        <v>462.97</v>
      </c>
      <c r="F66" s="81">
        <v>666.85</v>
      </c>
      <c r="G66" s="81">
        <v>169.14</v>
      </c>
      <c r="H66" s="81">
        <v>480.17</v>
      </c>
      <c r="I66" s="81">
        <v>137.5</v>
      </c>
      <c r="J66" s="81">
        <v>488.22</v>
      </c>
      <c r="K66" s="81">
        <v>276.04000000000002</v>
      </c>
      <c r="L66" s="81">
        <v>243.19</v>
      </c>
      <c r="M66" s="81">
        <v>74.489999999999995</v>
      </c>
    </row>
    <row r="67" spans="1:13" x14ac:dyDescent="0.2">
      <c r="A67" s="80">
        <v>45812</v>
      </c>
      <c r="B67" s="81">
        <v>202.82</v>
      </c>
      <c r="C67" s="81">
        <v>141.91999999999999</v>
      </c>
      <c r="D67" s="81">
        <v>169.39</v>
      </c>
      <c r="E67" s="81">
        <v>463.87</v>
      </c>
      <c r="F67" s="81">
        <v>687.95</v>
      </c>
      <c r="G67" s="81">
        <v>168.1</v>
      </c>
      <c r="H67" s="81">
        <v>482.21</v>
      </c>
      <c r="I67" s="81">
        <v>138.55000000000001</v>
      </c>
      <c r="J67" s="81">
        <v>491.29</v>
      </c>
      <c r="K67" s="81">
        <v>275.02999999999997</v>
      </c>
      <c r="L67" s="81">
        <v>242.31</v>
      </c>
      <c r="M67" s="81">
        <v>74.489999999999995</v>
      </c>
    </row>
    <row r="68" spans="1:13" x14ac:dyDescent="0.2">
      <c r="A68" s="80">
        <v>45813</v>
      </c>
      <c r="B68" s="81">
        <v>200.63</v>
      </c>
      <c r="C68" s="81">
        <v>139.99</v>
      </c>
      <c r="D68" s="81">
        <v>169.81</v>
      </c>
      <c r="E68" s="81">
        <v>467.68</v>
      </c>
      <c r="F68" s="81">
        <v>684.62</v>
      </c>
      <c r="G68" s="81">
        <v>171.14</v>
      </c>
      <c r="H68" s="81">
        <v>478.03</v>
      </c>
      <c r="I68" s="81">
        <v>139.07</v>
      </c>
      <c r="J68" s="81">
        <v>488.12</v>
      </c>
      <c r="K68" s="81">
        <v>274.42</v>
      </c>
      <c r="L68" s="81">
        <v>242.06</v>
      </c>
      <c r="M68" s="81">
        <v>74.5</v>
      </c>
    </row>
    <row r="69" spans="1:13" x14ac:dyDescent="0.2">
      <c r="A69" s="80">
        <v>45814</v>
      </c>
      <c r="B69" s="81">
        <v>203.92</v>
      </c>
      <c r="C69" s="81">
        <v>141.72</v>
      </c>
      <c r="D69" s="81">
        <v>174.92</v>
      </c>
      <c r="E69" s="81">
        <v>470.38</v>
      </c>
      <c r="F69" s="81">
        <v>697.71</v>
      </c>
      <c r="G69" s="81">
        <v>174.02</v>
      </c>
      <c r="H69" s="81">
        <v>481.69</v>
      </c>
      <c r="I69" s="81">
        <v>139.1</v>
      </c>
      <c r="J69" s="81">
        <v>489.41</v>
      </c>
      <c r="K69" s="81">
        <v>276.48</v>
      </c>
      <c r="L69" s="81">
        <v>244.27</v>
      </c>
      <c r="M69" s="81">
        <v>75.569999999999993</v>
      </c>
    </row>
    <row r="70" spans="1:13" x14ac:dyDescent="0.2">
      <c r="A70" s="80">
        <v>45817</v>
      </c>
      <c r="B70" s="81">
        <v>201.45</v>
      </c>
      <c r="C70" s="81">
        <v>142.63</v>
      </c>
      <c r="D70" s="81">
        <v>177.63</v>
      </c>
      <c r="E70" s="81">
        <v>472.75</v>
      </c>
      <c r="F70" s="81">
        <v>694.06</v>
      </c>
      <c r="G70" s="81">
        <v>177.15</v>
      </c>
      <c r="H70" s="81">
        <v>480.83</v>
      </c>
      <c r="I70" s="81">
        <v>140.97999999999999</v>
      </c>
      <c r="J70" s="81">
        <v>491.36</v>
      </c>
      <c r="K70" s="81">
        <v>277.31</v>
      </c>
      <c r="L70" s="81">
        <v>245.41</v>
      </c>
      <c r="M70" s="81">
        <v>77.08</v>
      </c>
    </row>
    <row r="71" spans="1:13" x14ac:dyDescent="0.2">
      <c r="A71" s="80">
        <v>45818</v>
      </c>
      <c r="B71" s="81">
        <v>202.67</v>
      </c>
      <c r="C71" s="81">
        <v>143.96</v>
      </c>
      <c r="D71" s="81">
        <v>180.01</v>
      </c>
      <c r="E71" s="81">
        <v>470.92</v>
      </c>
      <c r="F71" s="81">
        <v>702.4</v>
      </c>
      <c r="G71" s="81">
        <v>177.48</v>
      </c>
      <c r="H71" s="81">
        <v>476.9</v>
      </c>
      <c r="I71" s="81">
        <v>138.52000000000001</v>
      </c>
      <c r="J71" s="81">
        <v>488.8</v>
      </c>
      <c r="K71" s="81">
        <v>277.37</v>
      </c>
      <c r="L71" s="81">
        <v>244.79</v>
      </c>
      <c r="M71" s="81">
        <v>77.849999999999994</v>
      </c>
    </row>
    <row r="72" spans="1:13" x14ac:dyDescent="0.2">
      <c r="A72" s="80">
        <v>45819</v>
      </c>
      <c r="B72" s="81">
        <v>198.78</v>
      </c>
      <c r="C72" s="81">
        <v>142.83000000000001</v>
      </c>
      <c r="D72" s="81">
        <v>178.79</v>
      </c>
      <c r="E72" s="81">
        <v>472.62</v>
      </c>
      <c r="F72" s="81">
        <v>694.14</v>
      </c>
      <c r="G72" s="81">
        <v>176.38</v>
      </c>
      <c r="H72" s="81">
        <v>456.6</v>
      </c>
      <c r="I72" s="81">
        <v>141.81</v>
      </c>
      <c r="J72" s="81">
        <v>488.46</v>
      </c>
      <c r="K72" s="81">
        <v>275.83</v>
      </c>
      <c r="L72" s="81">
        <v>246.67</v>
      </c>
      <c r="M72" s="81">
        <v>76.8</v>
      </c>
    </row>
    <row r="73" spans="1:13" x14ac:dyDescent="0.2">
      <c r="A73" s="80">
        <v>45820</v>
      </c>
      <c r="B73" s="81">
        <v>199.2</v>
      </c>
      <c r="C73" s="81">
        <v>145</v>
      </c>
      <c r="D73" s="81">
        <v>176.97</v>
      </c>
      <c r="E73" s="81">
        <v>478.87</v>
      </c>
      <c r="F73" s="81">
        <v>693.36</v>
      </c>
      <c r="G73" s="81">
        <v>199.86</v>
      </c>
      <c r="H73" s="81">
        <v>469.27</v>
      </c>
      <c r="I73" s="81">
        <v>140.97999999999999</v>
      </c>
      <c r="J73" s="81">
        <v>497.13</v>
      </c>
      <c r="K73" s="81">
        <v>279.93</v>
      </c>
      <c r="L73" s="81">
        <v>250.39</v>
      </c>
      <c r="M73" s="81">
        <v>77.8</v>
      </c>
    </row>
    <row r="74" spans="1:13" x14ac:dyDescent="0.2">
      <c r="A74" s="80">
        <v>45821</v>
      </c>
      <c r="B74" s="81">
        <v>196.45</v>
      </c>
      <c r="C74" s="81">
        <v>141.97</v>
      </c>
      <c r="D74" s="81">
        <v>175.88</v>
      </c>
      <c r="E74" s="81">
        <v>474.96</v>
      </c>
      <c r="F74" s="81">
        <v>682.87</v>
      </c>
      <c r="G74" s="81">
        <v>215.22</v>
      </c>
      <c r="H74" s="81">
        <v>486.45</v>
      </c>
      <c r="I74" s="81">
        <v>145.69</v>
      </c>
      <c r="J74" s="81">
        <v>516.72</v>
      </c>
      <c r="K74" s="81">
        <v>283</v>
      </c>
      <c r="L74" s="81">
        <v>256.99</v>
      </c>
      <c r="M74" s="81">
        <v>77.38</v>
      </c>
    </row>
    <row r="75" spans="1:13" x14ac:dyDescent="0.2">
      <c r="A75" s="80">
        <v>45824</v>
      </c>
      <c r="B75" s="81">
        <v>198.42</v>
      </c>
      <c r="C75" s="81">
        <v>144.69</v>
      </c>
      <c r="D75" s="81">
        <v>177.94</v>
      </c>
      <c r="E75" s="81">
        <v>479.14</v>
      </c>
      <c r="F75" s="81">
        <v>702.12</v>
      </c>
      <c r="G75" s="81">
        <v>211.1</v>
      </c>
      <c r="H75" s="81">
        <v>467.06</v>
      </c>
      <c r="I75" s="81">
        <v>146.46</v>
      </c>
      <c r="J75" s="81">
        <v>497.52</v>
      </c>
      <c r="K75" s="81">
        <v>279.29000000000002</v>
      </c>
      <c r="L75" s="81">
        <v>247.77</v>
      </c>
      <c r="M75" s="81">
        <v>77.239999999999995</v>
      </c>
    </row>
    <row r="76" spans="1:13" x14ac:dyDescent="0.2">
      <c r="A76" s="80">
        <v>45825</v>
      </c>
      <c r="B76" s="81">
        <v>195.64</v>
      </c>
      <c r="C76" s="81">
        <v>144.12</v>
      </c>
      <c r="D76" s="81">
        <v>177.23</v>
      </c>
      <c r="E76" s="81">
        <v>478.04</v>
      </c>
      <c r="F76" s="81">
        <v>697.23</v>
      </c>
      <c r="G76" s="81">
        <v>208.18</v>
      </c>
      <c r="H76" s="81">
        <v>479.34</v>
      </c>
      <c r="I76" s="81">
        <v>148.47999999999999</v>
      </c>
      <c r="J76" s="81">
        <v>503.97</v>
      </c>
      <c r="K76" s="81">
        <v>281.3</v>
      </c>
      <c r="L76" s="81">
        <v>250.86</v>
      </c>
      <c r="M76" s="81">
        <v>76.86</v>
      </c>
    </row>
    <row r="77" spans="1:13" x14ac:dyDescent="0.2">
      <c r="A77" s="80">
        <v>45826</v>
      </c>
      <c r="B77" s="81">
        <v>196.58</v>
      </c>
      <c r="C77" s="81">
        <v>145.47999999999999</v>
      </c>
      <c r="D77" s="81">
        <v>173.98</v>
      </c>
      <c r="E77" s="81">
        <v>480.24</v>
      </c>
      <c r="F77" s="81">
        <v>695.77</v>
      </c>
      <c r="G77" s="81">
        <v>210.87</v>
      </c>
      <c r="H77" s="81">
        <v>468.6</v>
      </c>
      <c r="I77" s="81">
        <v>145.87</v>
      </c>
      <c r="J77" s="81">
        <v>494.65</v>
      </c>
      <c r="K77" s="81">
        <v>278.52999999999997</v>
      </c>
      <c r="L77" s="81">
        <v>248.83</v>
      </c>
      <c r="M77" s="81">
        <v>76.61</v>
      </c>
    </row>
    <row r="78" spans="1:13" x14ac:dyDescent="0.2">
      <c r="A78" s="80">
        <v>45828</v>
      </c>
      <c r="B78" s="81">
        <v>201</v>
      </c>
      <c r="C78" s="81">
        <v>143.85</v>
      </c>
      <c r="D78" s="81">
        <v>167.73</v>
      </c>
      <c r="E78" s="81">
        <v>477.4</v>
      </c>
      <c r="F78" s="81">
        <v>682.35</v>
      </c>
      <c r="G78" s="81">
        <v>205.17</v>
      </c>
      <c r="H78" s="81">
        <v>470.56</v>
      </c>
      <c r="I78" s="81">
        <v>146.63999999999999</v>
      </c>
      <c r="J78" s="81">
        <v>497.7</v>
      </c>
      <c r="K78" s="81">
        <v>278.77999999999997</v>
      </c>
      <c r="L78" s="81">
        <v>249.67</v>
      </c>
      <c r="M78" s="81">
        <v>76.98</v>
      </c>
    </row>
    <row r="79" spans="1:13" x14ac:dyDescent="0.2">
      <c r="A79" s="80">
        <v>45831</v>
      </c>
      <c r="B79" s="81">
        <v>201.5</v>
      </c>
      <c r="C79" s="81">
        <v>144.16999999999999</v>
      </c>
      <c r="D79" s="81">
        <v>166.01</v>
      </c>
      <c r="E79" s="81">
        <v>486</v>
      </c>
      <c r="F79" s="81">
        <v>698.53</v>
      </c>
      <c r="G79" s="81">
        <v>207.04</v>
      </c>
      <c r="H79" s="81">
        <v>472.46</v>
      </c>
      <c r="I79" s="81">
        <v>145.81</v>
      </c>
      <c r="J79" s="81">
        <v>499.67</v>
      </c>
      <c r="K79" s="81">
        <v>282.32</v>
      </c>
      <c r="L79" s="81">
        <v>251.11</v>
      </c>
      <c r="M79" s="81">
        <v>77.5</v>
      </c>
    </row>
    <row r="80" spans="1:13" x14ac:dyDescent="0.2">
      <c r="A80" s="80">
        <v>45832</v>
      </c>
      <c r="B80" s="81">
        <v>200.3</v>
      </c>
      <c r="C80" s="81">
        <v>147.9</v>
      </c>
      <c r="D80" s="81">
        <v>167.74</v>
      </c>
      <c r="E80" s="81">
        <v>490.11</v>
      </c>
      <c r="F80" s="81">
        <v>712.2</v>
      </c>
      <c r="G80" s="81">
        <v>215.27</v>
      </c>
      <c r="H80" s="81">
        <v>460.2</v>
      </c>
      <c r="I80" s="81">
        <v>141.85</v>
      </c>
      <c r="J80" s="81">
        <v>484</v>
      </c>
      <c r="K80" s="81">
        <v>281.05</v>
      </c>
      <c r="L80" s="81">
        <v>246.65</v>
      </c>
      <c r="M80" s="81">
        <v>78.760000000000005</v>
      </c>
    </row>
    <row r="81" spans="1:13" x14ac:dyDescent="0.2">
      <c r="A81" s="80">
        <v>45833</v>
      </c>
      <c r="B81" s="81">
        <v>201.56</v>
      </c>
      <c r="C81" s="81">
        <v>154.31</v>
      </c>
      <c r="D81" s="81">
        <v>171.49</v>
      </c>
      <c r="E81" s="81">
        <v>492.27</v>
      </c>
      <c r="F81" s="81">
        <v>708.68</v>
      </c>
      <c r="G81" s="81">
        <v>210.72</v>
      </c>
      <c r="H81" s="81">
        <v>458.39</v>
      </c>
      <c r="I81" s="81">
        <v>141.38</v>
      </c>
      <c r="J81" s="81">
        <v>486.92</v>
      </c>
      <c r="K81" s="81">
        <v>285.91000000000003</v>
      </c>
      <c r="L81" s="81">
        <v>247.87</v>
      </c>
      <c r="M81" s="81">
        <v>79.28</v>
      </c>
    </row>
    <row r="82" spans="1:13" x14ac:dyDescent="0.2">
      <c r="A82" s="80">
        <v>45834</v>
      </c>
      <c r="B82" s="81">
        <v>201</v>
      </c>
      <c r="C82" s="81">
        <v>155.02000000000001</v>
      </c>
      <c r="D82" s="81">
        <v>174.43</v>
      </c>
      <c r="E82" s="81">
        <v>497.45</v>
      </c>
      <c r="F82" s="81">
        <v>726.09</v>
      </c>
      <c r="G82" s="81">
        <v>212.82</v>
      </c>
      <c r="H82" s="81">
        <v>457.9</v>
      </c>
      <c r="I82" s="81">
        <v>142.66999999999999</v>
      </c>
      <c r="J82" s="81">
        <v>493.66</v>
      </c>
      <c r="K82" s="81">
        <v>291.39</v>
      </c>
      <c r="L82" s="81">
        <v>246.8</v>
      </c>
      <c r="M82" s="81">
        <v>80.260000000000005</v>
      </c>
    </row>
    <row r="83" spans="1:13" x14ac:dyDescent="0.2">
      <c r="A83" s="80">
        <v>45835</v>
      </c>
      <c r="B83" s="81">
        <v>201.08</v>
      </c>
      <c r="C83" s="81">
        <v>157.75</v>
      </c>
      <c r="D83" s="81">
        <v>178.27</v>
      </c>
      <c r="E83" s="81">
        <v>495.94</v>
      </c>
      <c r="F83" s="81">
        <v>733.63</v>
      </c>
      <c r="G83" s="81">
        <v>210.24</v>
      </c>
      <c r="H83" s="81">
        <v>458.59</v>
      </c>
      <c r="I83" s="81">
        <v>144.66</v>
      </c>
      <c r="J83" s="81">
        <v>494</v>
      </c>
      <c r="K83" s="81">
        <v>290.74</v>
      </c>
      <c r="L83" s="81">
        <v>246.98</v>
      </c>
      <c r="M83" s="81">
        <v>80.34</v>
      </c>
    </row>
    <row r="84" spans="1:13" x14ac:dyDescent="0.2">
      <c r="A84" s="80">
        <v>45838</v>
      </c>
      <c r="B84" s="81">
        <v>205.17</v>
      </c>
      <c r="C84" s="81">
        <v>157.99</v>
      </c>
      <c r="D84" s="81">
        <v>177.39</v>
      </c>
      <c r="E84" s="81">
        <v>497.41</v>
      </c>
      <c r="F84" s="81">
        <v>738.09</v>
      </c>
      <c r="G84" s="81">
        <v>218.63</v>
      </c>
      <c r="H84" s="81">
        <v>463.14</v>
      </c>
      <c r="I84" s="81">
        <v>146.02000000000001</v>
      </c>
      <c r="J84" s="81">
        <v>499.98</v>
      </c>
      <c r="K84" s="81">
        <v>291.66000000000003</v>
      </c>
      <c r="L84" s="81">
        <v>250.84</v>
      </c>
      <c r="M84" s="81">
        <v>80.290000000000006</v>
      </c>
    </row>
    <row r="85" spans="1:13" x14ac:dyDescent="0.2">
      <c r="A85" s="79">
        <v>45839</v>
      </c>
      <c r="B85" s="2">
        <v>207.82</v>
      </c>
      <c r="C85" s="2">
        <v>153.30000000000001</v>
      </c>
      <c r="D85" s="2">
        <v>176.91</v>
      </c>
      <c r="E85" s="2">
        <v>492.05</v>
      </c>
      <c r="F85" s="2">
        <v>719.22</v>
      </c>
      <c r="G85" s="2">
        <v>218.96</v>
      </c>
      <c r="H85" s="2">
        <v>465.94</v>
      </c>
      <c r="I85" s="2">
        <v>144.19</v>
      </c>
      <c r="J85" s="2">
        <v>503.53</v>
      </c>
      <c r="K85" s="2">
        <v>294.38</v>
      </c>
      <c r="L85" s="2">
        <v>252.18</v>
      </c>
      <c r="M85" s="2">
        <v>80.98</v>
      </c>
    </row>
    <row r="86" spans="1:13" x14ac:dyDescent="0.2">
      <c r="A86" s="80">
        <v>45840</v>
      </c>
      <c r="B86" s="81">
        <v>212.44</v>
      </c>
      <c r="C86" s="81">
        <v>157.25</v>
      </c>
      <c r="D86" s="81">
        <v>179.76</v>
      </c>
      <c r="E86" s="81">
        <v>491.09</v>
      </c>
      <c r="F86" s="81">
        <v>713.57</v>
      </c>
      <c r="G86" s="81">
        <v>229.98</v>
      </c>
      <c r="H86" s="81">
        <v>462.55</v>
      </c>
      <c r="I86" s="81">
        <v>144.52000000000001</v>
      </c>
      <c r="J86" s="81">
        <v>498.9</v>
      </c>
      <c r="K86" s="81">
        <v>293.92</v>
      </c>
      <c r="L86" s="81">
        <v>253.56</v>
      </c>
      <c r="M86" s="81">
        <v>81.94</v>
      </c>
    </row>
    <row r="87" spans="1:13" x14ac:dyDescent="0.2">
      <c r="A87" s="80">
        <v>45841</v>
      </c>
      <c r="B87" s="81">
        <v>213.55</v>
      </c>
      <c r="C87" s="81">
        <v>159.34</v>
      </c>
      <c r="D87" s="81">
        <v>180.55</v>
      </c>
      <c r="E87" s="81">
        <v>498.84</v>
      </c>
      <c r="F87" s="81">
        <v>719.01</v>
      </c>
      <c r="G87" s="81">
        <v>237.32</v>
      </c>
      <c r="H87" s="81">
        <v>462.52</v>
      </c>
      <c r="I87" s="81">
        <v>145.75</v>
      </c>
      <c r="J87" s="81">
        <v>504.2</v>
      </c>
      <c r="K87" s="81">
        <v>294.76</v>
      </c>
      <c r="L87" s="81">
        <v>255.73</v>
      </c>
      <c r="M87" s="81">
        <v>82.23</v>
      </c>
    </row>
    <row r="88" spans="1:13" x14ac:dyDescent="0.2">
      <c r="A88" s="80">
        <v>45845</v>
      </c>
      <c r="B88" s="81">
        <v>209.95</v>
      </c>
      <c r="C88" s="81">
        <v>158.24</v>
      </c>
      <c r="D88" s="81">
        <v>177.56</v>
      </c>
      <c r="E88" s="81">
        <v>497.72</v>
      </c>
      <c r="F88" s="81">
        <v>718.35</v>
      </c>
      <c r="G88" s="81">
        <v>232.26</v>
      </c>
      <c r="H88" s="81">
        <v>469.06</v>
      </c>
      <c r="I88" s="81">
        <v>145.91999999999999</v>
      </c>
      <c r="J88" s="81">
        <v>507.92</v>
      </c>
      <c r="K88" s="81">
        <v>294.64999999999998</v>
      </c>
      <c r="L88" s="81">
        <v>256.43</v>
      </c>
      <c r="M88" s="81">
        <v>81.37</v>
      </c>
    </row>
    <row r="89" spans="1:13" x14ac:dyDescent="0.2">
      <c r="A89" s="80">
        <v>45846</v>
      </c>
      <c r="B89" s="81">
        <v>210.01</v>
      </c>
      <c r="C89" s="81">
        <v>160</v>
      </c>
      <c r="D89" s="81">
        <v>175.16</v>
      </c>
      <c r="E89" s="81">
        <v>496.62</v>
      </c>
      <c r="F89" s="81">
        <v>720.67</v>
      </c>
      <c r="G89" s="81">
        <v>234.5</v>
      </c>
      <c r="H89" s="81">
        <v>463.01</v>
      </c>
      <c r="I89" s="81">
        <v>144.91</v>
      </c>
      <c r="J89" s="81">
        <v>504.85</v>
      </c>
      <c r="K89" s="81">
        <v>296.64999999999998</v>
      </c>
      <c r="L89" s="81">
        <v>257.08999999999997</v>
      </c>
      <c r="M89" s="81">
        <v>82.12</v>
      </c>
    </row>
    <row r="90" spans="1:13" x14ac:dyDescent="0.2">
      <c r="A90" s="80">
        <v>45847</v>
      </c>
      <c r="B90" s="81">
        <v>211.14</v>
      </c>
      <c r="C90" s="81">
        <v>162.88</v>
      </c>
      <c r="D90" s="81">
        <v>177.66</v>
      </c>
      <c r="E90" s="81">
        <v>503.51</v>
      </c>
      <c r="F90" s="81">
        <v>732.78</v>
      </c>
      <c r="G90" s="81">
        <v>235.81</v>
      </c>
      <c r="H90" s="81">
        <v>463.06</v>
      </c>
      <c r="I90" s="81">
        <v>146.18</v>
      </c>
      <c r="J90" s="81">
        <v>507.94</v>
      </c>
      <c r="K90" s="81">
        <v>299.95999999999998</v>
      </c>
      <c r="L90" s="81">
        <v>259.05</v>
      </c>
      <c r="M90" s="81">
        <v>82.47</v>
      </c>
    </row>
    <row r="91" spans="1:13" x14ac:dyDescent="0.2">
      <c r="A91" s="80">
        <v>45848</v>
      </c>
      <c r="B91" s="81">
        <v>212.41</v>
      </c>
      <c r="C91" s="81">
        <v>164.1</v>
      </c>
      <c r="D91" s="81">
        <v>178.7</v>
      </c>
      <c r="E91" s="81">
        <v>501.48</v>
      </c>
      <c r="F91" s="81">
        <v>727.24</v>
      </c>
      <c r="G91" s="81">
        <v>235</v>
      </c>
      <c r="H91" s="81">
        <v>464.31</v>
      </c>
      <c r="I91" s="81">
        <v>146.4</v>
      </c>
      <c r="J91" s="81">
        <v>513.87</v>
      </c>
      <c r="K91" s="81">
        <v>303.38</v>
      </c>
      <c r="L91" s="81">
        <v>260.10000000000002</v>
      </c>
      <c r="M91" s="81">
        <v>85.23</v>
      </c>
    </row>
    <row r="92" spans="1:13" x14ac:dyDescent="0.2">
      <c r="A92" s="80">
        <v>45849</v>
      </c>
      <c r="B92" s="81">
        <v>211.16</v>
      </c>
      <c r="C92" s="81">
        <v>164.92</v>
      </c>
      <c r="D92" s="81">
        <v>181.31</v>
      </c>
      <c r="E92" s="81">
        <v>503.32</v>
      </c>
      <c r="F92" s="81">
        <v>717.51</v>
      </c>
      <c r="G92" s="81">
        <v>230.56</v>
      </c>
      <c r="H92" s="81">
        <v>467.51</v>
      </c>
      <c r="I92" s="81">
        <v>146.87</v>
      </c>
      <c r="J92" s="81">
        <v>514.6</v>
      </c>
      <c r="K92" s="81">
        <v>302.2</v>
      </c>
      <c r="L92" s="81">
        <v>259.55</v>
      </c>
      <c r="M92" s="81">
        <v>85.02</v>
      </c>
    </row>
    <row r="93" spans="1:13" x14ac:dyDescent="0.2">
      <c r="A93" s="80">
        <v>45852</v>
      </c>
      <c r="B93" s="81">
        <v>208.62</v>
      </c>
      <c r="C93" s="81">
        <v>164.07</v>
      </c>
      <c r="D93" s="81">
        <v>182.81</v>
      </c>
      <c r="E93" s="81">
        <v>503.02</v>
      </c>
      <c r="F93" s="81">
        <v>720.92</v>
      </c>
      <c r="G93" s="81">
        <v>229.28</v>
      </c>
      <c r="H93" s="81">
        <v>473.57</v>
      </c>
      <c r="I93" s="81">
        <v>149.28</v>
      </c>
      <c r="J93" s="81">
        <v>521.11</v>
      </c>
      <c r="K93" s="81">
        <v>304.85000000000002</v>
      </c>
      <c r="L93" s="81">
        <v>262.31</v>
      </c>
      <c r="M93" s="81">
        <v>85.39</v>
      </c>
    </row>
    <row r="94" spans="1:13" x14ac:dyDescent="0.2">
      <c r="A94" s="80">
        <v>45853</v>
      </c>
      <c r="B94" s="81">
        <v>209.11</v>
      </c>
      <c r="C94" s="81">
        <v>170.7</v>
      </c>
      <c r="D94" s="81">
        <v>183.1</v>
      </c>
      <c r="E94" s="81">
        <v>505.82</v>
      </c>
      <c r="F94" s="81">
        <v>710.39</v>
      </c>
      <c r="G94" s="81">
        <v>234.96</v>
      </c>
      <c r="H94" s="81">
        <v>470.12</v>
      </c>
      <c r="I94" s="81">
        <v>148.68</v>
      </c>
      <c r="J94" s="81">
        <v>516.82000000000005</v>
      </c>
      <c r="K94" s="81">
        <v>300.85000000000002</v>
      </c>
      <c r="L94" s="81">
        <v>261.17</v>
      </c>
      <c r="M94" s="81">
        <v>84.45</v>
      </c>
    </row>
    <row r="95" spans="1:13" x14ac:dyDescent="0.2">
      <c r="A95" s="80">
        <v>45854</v>
      </c>
      <c r="B95" s="81">
        <v>210.16</v>
      </c>
      <c r="C95" s="81">
        <v>171.37</v>
      </c>
      <c r="D95" s="81">
        <v>183.77</v>
      </c>
      <c r="E95" s="81">
        <v>505.62</v>
      </c>
      <c r="F95" s="81">
        <v>702.91</v>
      </c>
      <c r="G95" s="81">
        <v>241.3</v>
      </c>
      <c r="H95" s="81">
        <v>471.47</v>
      </c>
      <c r="I95" s="81">
        <v>150.16999999999999</v>
      </c>
      <c r="J95" s="81">
        <v>519.70000000000005</v>
      </c>
      <c r="K95" s="81">
        <v>300</v>
      </c>
      <c r="L95" s="81">
        <v>263.66000000000003</v>
      </c>
      <c r="M95" s="81">
        <v>84.14</v>
      </c>
    </row>
    <row r="96" spans="1:13" x14ac:dyDescent="0.2">
      <c r="A96" s="80">
        <v>45855</v>
      </c>
      <c r="B96" s="81">
        <v>210.02</v>
      </c>
      <c r="C96" s="81">
        <v>173</v>
      </c>
      <c r="D96" s="81">
        <v>184.7</v>
      </c>
      <c r="E96" s="81">
        <v>511.7</v>
      </c>
      <c r="F96" s="81">
        <v>701.41</v>
      </c>
      <c r="G96" s="81">
        <v>248.75</v>
      </c>
      <c r="H96" s="81">
        <v>469.2</v>
      </c>
      <c r="I96" s="81">
        <v>151.5</v>
      </c>
      <c r="J96" s="81">
        <v>523.83000000000004</v>
      </c>
      <c r="K96" s="81">
        <v>300.08999999999997</v>
      </c>
      <c r="L96" s="81">
        <v>265.51</v>
      </c>
      <c r="M96" s="81">
        <v>85.36</v>
      </c>
    </row>
    <row r="97" spans="1:13" x14ac:dyDescent="0.2">
      <c r="A97" s="80">
        <v>45856</v>
      </c>
      <c r="B97" s="81">
        <v>211.18</v>
      </c>
      <c r="C97" s="81">
        <v>172.41</v>
      </c>
      <c r="D97" s="81">
        <v>185.94</v>
      </c>
      <c r="E97" s="81">
        <v>510.05</v>
      </c>
      <c r="F97" s="81">
        <v>704.28</v>
      </c>
      <c r="G97" s="81">
        <v>245.45</v>
      </c>
      <c r="H97" s="81">
        <v>463.96</v>
      </c>
      <c r="I97" s="81">
        <v>151.5</v>
      </c>
      <c r="J97" s="81">
        <v>519.04</v>
      </c>
      <c r="K97" s="81">
        <v>298.98</v>
      </c>
      <c r="L97" s="81">
        <v>264.77</v>
      </c>
      <c r="M97" s="81">
        <v>85</v>
      </c>
    </row>
    <row r="98" spans="1:13" x14ac:dyDescent="0.2">
      <c r="A98" s="80">
        <v>45859</v>
      </c>
      <c r="B98" s="81">
        <v>212.48</v>
      </c>
      <c r="C98" s="81">
        <v>171.38</v>
      </c>
      <c r="D98" s="81">
        <v>191.15</v>
      </c>
      <c r="E98" s="81">
        <v>510.06</v>
      </c>
      <c r="F98" s="81">
        <v>712.96500000000003</v>
      </c>
      <c r="G98" s="81">
        <v>243.54</v>
      </c>
      <c r="H98" s="81">
        <v>460.53</v>
      </c>
      <c r="I98" s="81">
        <v>151.56</v>
      </c>
      <c r="J98" s="81">
        <v>515.29</v>
      </c>
      <c r="K98" s="81">
        <v>297.05</v>
      </c>
      <c r="L98" s="81">
        <v>263.08999999999997</v>
      </c>
      <c r="M98" s="81">
        <v>84.75</v>
      </c>
    </row>
    <row r="99" spans="1:13" x14ac:dyDescent="0.2">
      <c r="A99" s="80">
        <v>45860</v>
      </c>
      <c r="B99" s="81">
        <v>214.4</v>
      </c>
      <c r="C99" s="81">
        <v>167.03</v>
      </c>
      <c r="D99" s="81">
        <v>192.11</v>
      </c>
      <c r="E99" s="81">
        <v>505.27</v>
      </c>
      <c r="F99" s="81">
        <v>704.81</v>
      </c>
      <c r="G99" s="81">
        <v>238.11</v>
      </c>
      <c r="H99" s="81">
        <v>410.74</v>
      </c>
      <c r="I99" s="81">
        <v>149.16999999999999</v>
      </c>
      <c r="J99" s="81">
        <v>563.79</v>
      </c>
      <c r="K99" s="81">
        <v>297.60000000000002</v>
      </c>
      <c r="L99" s="81">
        <v>264.42</v>
      </c>
      <c r="M99" s="81">
        <v>86.04</v>
      </c>
    </row>
    <row r="100" spans="1:13" x14ac:dyDescent="0.2">
      <c r="A100" s="80">
        <v>45861</v>
      </c>
      <c r="B100" s="81">
        <v>214.15</v>
      </c>
      <c r="C100" s="81">
        <v>170.78</v>
      </c>
      <c r="D100" s="81">
        <v>191.51</v>
      </c>
      <c r="E100" s="81">
        <v>505.87</v>
      </c>
      <c r="F100" s="81">
        <v>713.58</v>
      </c>
      <c r="G100" s="81">
        <v>241.9</v>
      </c>
      <c r="H100" s="81">
        <v>419.39</v>
      </c>
      <c r="I100" s="81">
        <v>156.49</v>
      </c>
      <c r="J100" s="81">
        <v>568.5</v>
      </c>
      <c r="K100" s="81">
        <v>316.94</v>
      </c>
      <c r="L100" s="81">
        <v>269.60000000000002</v>
      </c>
      <c r="M100" s="81">
        <v>87.21</v>
      </c>
    </row>
    <row r="101" spans="1:13" x14ac:dyDescent="0.2">
      <c r="A101" s="80">
        <v>45862</v>
      </c>
      <c r="B101" s="81">
        <v>213.76</v>
      </c>
      <c r="C101" s="81">
        <v>173.74</v>
      </c>
      <c r="D101" s="81">
        <v>193.2</v>
      </c>
      <c r="E101" s="81">
        <v>510.88</v>
      </c>
      <c r="F101" s="81">
        <v>714.8</v>
      </c>
      <c r="G101" s="81">
        <v>242.83</v>
      </c>
      <c r="H101" s="81">
        <v>420.55</v>
      </c>
      <c r="I101" s="81">
        <v>155.22</v>
      </c>
      <c r="J101" s="81">
        <v>568.48</v>
      </c>
      <c r="K101" s="81">
        <v>314.24</v>
      </c>
      <c r="L101" s="81">
        <v>273.22000000000003</v>
      </c>
      <c r="M101" s="81">
        <v>80.930000000000007</v>
      </c>
    </row>
    <row r="102" spans="1:13" x14ac:dyDescent="0.2">
      <c r="A102" s="80">
        <v>45863</v>
      </c>
      <c r="B102" s="81">
        <v>213.88</v>
      </c>
      <c r="C102" s="81">
        <v>173.5</v>
      </c>
      <c r="D102" s="81">
        <v>194.08</v>
      </c>
      <c r="E102" s="81">
        <v>513.71</v>
      </c>
      <c r="F102" s="81">
        <v>712.68</v>
      </c>
      <c r="G102" s="81">
        <v>245.12</v>
      </c>
      <c r="H102" s="81">
        <v>421.17</v>
      </c>
      <c r="I102" s="81">
        <v>156.88</v>
      </c>
      <c r="J102" s="81">
        <v>569.74</v>
      </c>
      <c r="K102" s="81">
        <v>314.02</v>
      </c>
      <c r="L102" s="81">
        <v>269.27999999999997</v>
      </c>
      <c r="M102" s="81">
        <v>79.5</v>
      </c>
    </row>
    <row r="103" spans="1:13" x14ac:dyDescent="0.2">
      <c r="A103" s="80">
        <v>45866</v>
      </c>
      <c r="B103" s="81">
        <v>214.05</v>
      </c>
      <c r="C103" s="81">
        <v>176.75</v>
      </c>
      <c r="D103" s="81">
        <v>193.42</v>
      </c>
      <c r="E103" s="81">
        <v>512.5</v>
      </c>
      <c r="F103" s="81">
        <v>717.63</v>
      </c>
      <c r="G103" s="81">
        <v>247.71</v>
      </c>
      <c r="H103" s="81">
        <v>421.34</v>
      </c>
      <c r="I103" s="81">
        <v>156.07</v>
      </c>
      <c r="J103" s="81">
        <v>568.62</v>
      </c>
      <c r="K103" s="81">
        <v>313.10000000000002</v>
      </c>
      <c r="L103" s="81">
        <v>269.47000000000003</v>
      </c>
      <c r="M103" s="81">
        <v>78.56</v>
      </c>
    </row>
    <row r="104" spans="1:13" x14ac:dyDescent="0.2">
      <c r="A104" s="80">
        <v>45867</v>
      </c>
      <c r="B104" s="81">
        <v>211.27</v>
      </c>
      <c r="C104" s="81">
        <v>175.51</v>
      </c>
      <c r="D104" s="81">
        <v>196.43</v>
      </c>
      <c r="E104" s="81">
        <v>512.57000000000005</v>
      </c>
      <c r="F104" s="81">
        <v>700</v>
      </c>
      <c r="G104" s="81">
        <v>249.98</v>
      </c>
      <c r="H104" s="81">
        <v>420.13</v>
      </c>
      <c r="I104" s="81">
        <v>157.12</v>
      </c>
      <c r="J104" s="81">
        <v>573.22</v>
      </c>
      <c r="K104" s="81">
        <v>314.7</v>
      </c>
      <c r="L104" s="81">
        <v>272.31</v>
      </c>
      <c r="M104" s="81">
        <v>78.14</v>
      </c>
    </row>
    <row r="105" spans="1:13" x14ac:dyDescent="0.2">
      <c r="A105" s="80">
        <v>45868</v>
      </c>
      <c r="B105" s="81">
        <v>209.05</v>
      </c>
      <c r="C105" s="81">
        <v>179.27</v>
      </c>
      <c r="D105" s="81">
        <v>197.44</v>
      </c>
      <c r="E105" s="81">
        <v>513.24</v>
      </c>
      <c r="F105" s="81">
        <v>695.21</v>
      </c>
      <c r="G105" s="81">
        <v>250.6</v>
      </c>
      <c r="H105" s="81">
        <v>418.68</v>
      </c>
      <c r="I105" s="81">
        <v>158.4</v>
      </c>
      <c r="J105" s="81">
        <v>572.80999999999995</v>
      </c>
      <c r="K105" s="81">
        <v>312.18</v>
      </c>
      <c r="L105" s="81">
        <v>274.12</v>
      </c>
      <c r="M105" s="81">
        <v>78.05</v>
      </c>
    </row>
    <row r="106" spans="1:13" x14ac:dyDescent="0.2">
      <c r="A106" s="80">
        <v>45869</v>
      </c>
      <c r="B106" s="81">
        <v>207.57</v>
      </c>
      <c r="C106" s="81">
        <v>177.87</v>
      </c>
      <c r="D106" s="81">
        <v>192.86</v>
      </c>
      <c r="E106" s="81">
        <v>533.5</v>
      </c>
      <c r="F106" s="81">
        <v>773.44</v>
      </c>
      <c r="G106" s="81">
        <v>253.77</v>
      </c>
      <c r="H106" s="81">
        <v>420.98</v>
      </c>
      <c r="I106" s="81">
        <v>157.57</v>
      </c>
      <c r="J106" s="81">
        <v>576.61</v>
      </c>
      <c r="K106" s="81">
        <v>311.61</v>
      </c>
      <c r="L106" s="81">
        <v>274.82</v>
      </c>
      <c r="M106" s="81">
        <v>77.77</v>
      </c>
    </row>
    <row r="107" spans="1:13" x14ac:dyDescent="0.2">
      <c r="A107" s="79">
        <v>45870</v>
      </c>
      <c r="B107" s="2">
        <v>202.38</v>
      </c>
      <c r="C107" s="2">
        <v>173.72</v>
      </c>
      <c r="D107" s="2">
        <v>189.95</v>
      </c>
      <c r="E107" s="2">
        <v>524.11</v>
      </c>
      <c r="F107" s="2">
        <v>750.01</v>
      </c>
      <c r="G107" s="2">
        <v>244.42</v>
      </c>
      <c r="H107" s="2">
        <v>421.01</v>
      </c>
      <c r="I107" s="2">
        <v>156.81</v>
      </c>
      <c r="J107" s="2">
        <v>586.44000000000005</v>
      </c>
      <c r="K107" s="2">
        <v>310.74</v>
      </c>
      <c r="L107" s="2">
        <v>278.26</v>
      </c>
      <c r="M107" s="2">
        <v>77.23</v>
      </c>
    </row>
    <row r="108" spans="1:13" x14ac:dyDescent="0.2">
      <c r="A108" s="80">
        <v>45873</v>
      </c>
      <c r="B108" s="81">
        <v>203.35</v>
      </c>
      <c r="C108" s="81">
        <v>180</v>
      </c>
      <c r="D108" s="81">
        <v>195.75</v>
      </c>
      <c r="E108" s="81">
        <v>535.64</v>
      </c>
      <c r="F108" s="81">
        <v>776.37</v>
      </c>
      <c r="G108" s="81">
        <v>252.53</v>
      </c>
      <c r="H108" s="81">
        <v>423.7</v>
      </c>
      <c r="I108" s="81">
        <v>157.38</v>
      </c>
      <c r="J108" s="81">
        <v>589.75</v>
      </c>
      <c r="K108" s="81">
        <v>312.77999999999997</v>
      </c>
      <c r="L108" s="81">
        <v>278.06</v>
      </c>
      <c r="M108" s="81">
        <v>77.81</v>
      </c>
    </row>
    <row r="109" spans="1:13" x14ac:dyDescent="0.2">
      <c r="A109" s="80">
        <v>45874</v>
      </c>
      <c r="B109" s="81">
        <v>202.92</v>
      </c>
      <c r="C109" s="81">
        <v>178.26</v>
      </c>
      <c r="D109" s="81">
        <v>195.32</v>
      </c>
      <c r="E109" s="81">
        <v>527.75</v>
      </c>
      <c r="F109" s="81">
        <v>763.46</v>
      </c>
      <c r="G109" s="81">
        <v>255.67</v>
      </c>
      <c r="H109" s="81">
        <v>428.24</v>
      </c>
      <c r="I109" s="81">
        <v>156.33000000000001</v>
      </c>
      <c r="J109" s="81">
        <v>589.95000000000005</v>
      </c>
      <c r="K109" s="81">
        <v>313.76</v>
      </c>
      <c r="L109" s="81">
        <v>278.22000000000003</v>
      </c>
      <c r="M109" s="81">
        <v>78.22</v>
      </c>
    </row>
    <row r="110" spans="1:13" x14ac:dyDescent="0.2">
      <c r="A110" s="80">
        <v>45875</v>
      </c>
      <c r="B110" s="81">
        <v>213.25</v>
      </c>
      <c r="C110" s="81">
        <v>179.42</v>
      </c>
      <c r="D110" s="81">
        <v>196.92</v>
      </c>
      <c r="E110" s="81">
        <v>524.94000000000005</v>
      </c>
      <c r="F110" s="81">
        <v>771.99</v>
      </c>
      <c r="G110" s="81">
        <v>256.43</v>
      </c>
      <c r="H110" s="81">
        <v>434.85</v>
      </c>
      <c r="I110" s="81">
        <v>155.75</v>
      </c>
      <c r="J110" s="81">
        <v>589.29</v>
      </c>
      <c r="K110" s="81">
        <v>314.99</v>
      </c>
      <c r="L110" s="81">
        <v>276.88</v>
      </c>
      <c r="M110" s="81">
        <v>77.47</v>
      </c>
    </row>
    <row r="111" spans="1:13" x14ac:dyDescent="0.2">
      <c r="A111" s="80">
        <v>45876</v>
      </c>
      <c r="B111" s="81">
        <v>220.03</v>
      </c>
      <c r="C111" s="81">
        <v>180.77</v>
      </c>
      <c r="D111" s="81">
        <v>197.28</v>
      </c>
      <c r="E111" s="81">
        <v>520.84</v>
      </c>
      <c r="F111" s="81">
        <v>761.83</v>
      </c>
      <c r="G111" s="81">
        <v>249.39</v>
      </c>
      <c r="H111" s="81">
        <v>430.75</v>
      </c>
      <c r="I111" s="81">
        <v>155.76</v>
      </c>
      <c r="J111" s="81">
        <v>587.38</v>
      </c>
      <c r="K111" s="81">
        <v>312.73</v>
      </c>
      <c r="L111" s="81">
        <v>273.81</v>
      </c>
      <c r="M111" s="81">
        <v>77.38</v>
      </c>
    </row>
    <row r="112" spans="1:13" x14ac:dyDescent="0.2">
      <c r="A112" s="80">
        <v>45877</v>
      </c>
      <c r="B112" s="81">
        <v>229.35</v>
      </c>
      <c r="C112" s="81">
        <v>182.7</v>
      </c>
      <c r="D112" s="81">
        <v>202.09</v>
      </c>
      <c r="E112" s="81">
        <v>522.04</v>
      </c>
      <c r="F112" s="81">
        <v>769.3</v>
      </c>
      <c r="G112" s="81">
        <v>250.05</v>
      </c>
      <c r="H112" s="81">
        <v>425.63</v>
      </c>
      <c r="I112" s="81">
        <v>154.86000000000001</v>
      </c>
      <c r="J112" s="81">
        <v>581.11</v>
      </c>
      <c r="K112" s="81">
        <v>314.13</v>
      </c>
      <c r="L112" s="81">
        <v>269.72000000000003</v>
      </c>
      <c r="M112" s="81">
        <v>77.02</v>
      </c>
    </row>
    <row r="113" spans="1:13" x14ac:dyDescent="0.2">
      <c r="A113" s="80">
        <v>45880</v>
      </c>
      <c r="B113" s="81">
        <v>227.18</v>
      </c>
      <c r="C113" s="81">
        <v>182.06</v>
      </c>
      <c r="D113" s="81">
        <v>201.63</v>
      </c>
      <c r="E113" s="81">
        <v>521.77</v>
      </c>
      <c r="F113" s="81">
        <v>765.87</v>
      </c>
      <c r="G113" s="81">
        <v>252.68</v>
      </c>
      <c r="H113" s="81">
        <v>426.26</v>
      </c>
      <c r="I113" s="81">
        <v>154.80000000000001</v>
      </c>
      <c r="J113" s="81">
        <v>580.24</v>
      </c>
      <c r="K113" s="81">
        <v>314.93</v>
      </c>
      <c r="L113" s="81">
        <v>270.32</v>
      </c>
      <c r="M113" s="81">
        <v>77.58</v>
      </c>
    </row>
    <row r="114" spans="1:13" x14ac:dyDescent="0.2">
      <c r="A114" s="80">
        <v>45881</v>
      </c>
      <c r="B114" s="81">
        <v>229.65</v>
      </c>
      <c r="C114" s="81">
        <v>183.16</v>
      </c>
      <c r="D114" s="81">
        <v>204.16</v>
      </c>
      <c r="E114" s="81">
        <v>529.24</v>
      </c>
      <c r="F114" s="81">
        <v>790</v>
      </c>
      <c r="G114" s="81">
        <v>253.86</v>
      </c>
      <c r="H114" s="81">
        <v>431.56</v>
      </c>
      <c r="I114" s="81">
        <v>155.49</v>
      </c>
      <c r="J114" s="81">
        <v>580.79999999999995</v>
      </c>
      <c r="K114" s="81">
        <v>314.01</v>
      </c>
      <c r="L114" s="81">
        <v>270.20999999999998</v>
      </c>
      <c r="M114" s="81">
        <v>78.540000000000006</v>
      </c>
    </row>
    <row r="115" spans="1:13" x14ac:dyDescent="0.2">
      <c r="A115" s="80">
        <v>45882</v>
      </c>
      <c r="B115" s="81">
        <v>233.33</v>
      </c>
      <c r="C115" s="81">
        <v>181.59</v>
      </c>
      <c r="D115" s="81">
        <v>203.03</v>
      </c>
      <c r="E115" s="81">
        <v>520.58000000000004</v>
      </c>
      <c r="F115" s="81">
        <v>780.08</v>
      </c>
      <c r="G115" s="81">
        <v>244.18</v>
      </c>
      <c r="H115" s="81">
        <v>442.57</v>
      </c>
      <c r="I115" s="81">
        <v>155.71</v>
      </c>
      <c r="J115" s="81">
        <v>582.09</v>
      </c>
      <c r="K115" s="81">
        <v>317.49</v>
      </c>
      <c r="L115" s="81">
        <v>270.22000000000003</v>
      </c>
      <c r="M115" s="81">
        <v>81.349999999999994</v>
      </c>
    </row>
    <row r="116" spans="1:13" x14ac:dyDescent="0.2">
      <c r="A116" s="80">
        <v>45883</v>
      </c>
      <c r="B116" s="81">
        <v>232.78</v>
      </c>
      <c r="C116" s="81">
        <v>182.02</v>
      </c>
      <c r="D116" s="81">
        <v>203.82</v>
      </c>
      <c r="E116" s="81">
        <v>522.48</v>
      </c>
      <c r="F116" s="81">
        <v>782.13</v>
      </c>
      <c r="G116" s="81">
        <v>244.96</v>
      </c>
      <c r="H116" s="81">
        <v>437.32</v>
      </c>
      <c r="I116" s="81">
        <v>155.08000000000001</v>
      </c>
      <c r="J116" s="81">
        <v>583.72</v>
      </c>
      <c r="K116" s="81">
        <v>315.83999999999997</v>
      </c>
      <c r="L116" s="81">
        <v>271.05</v>
      </c>
      <c r="M116" s="81">
        <v>80.319999999999993</v>
      </c>
    </row>
    <row r="117" spans="1:13" x14ac:dyDescent="0.2">
      <c r="A117" s="80">
        <v>45884</v>
      </c>
      <c r="B117" s="81">
        <v>231.59</v>
      </c>
      <c r="C117" s="81">
        <v>180.45</v>
      </c>
      <c r="D117" s="81">
        <v>204.91</v>
      </c>
      <c r="E117" s="81">
        <v>520.16999999999996</v>
      </c>
      <c r="F117" s="81">
        <v>785.23</v>
      </c>
      <c r="G117" s="81">
        <v>248.28</v>
      </c>
      <c r="H117" s="81">
        <v>437.56</v>
      </c>
      <c r="I117" s="81">
        <v>154.09</v>
      </c>
      <c r="J117" s="81">
        <v>583.96</v>
      </c>
      <c r="K117" s="81">
        <v>313.69</v>
      </c>
      <c r="L117" s="81">
        <v>270.55</v>
      </c>
      <c r="M117" s="81">
        <v>78.89</v>
      </c>
    </row>
    <row r="118" spans="1:13" x14ac:dyDescent="0.2">
      <c r="A118" s="80">
        <v>45887</v>
      </c>
      <c r="B118" s="81">
        <v>230.89</v>
      </c>
      <c r="C118" s="81">
        <v>182.01</v>
      </c>
      <c r="D118" s="81">
        <v>204.29</v>
      </c>
      <c r="E118" s="81">
        <v>517.1</v>
      </c>
      <c r="F118" s="81">
        <v>767.37</v>
      </c>
      <c r="G118" s="81">
        <v>249.07</v>
      </c>
      <c r="H118" s="81">
        <v>440.64</v>
      </c>
      <c r="I118" s="81">
        <v>155.5</v>
      </c>
      <c r="J118" s="81">
        <v>584.82000000000005</v>
      </c>
      <c r="K118" s="81">
        <v>313.58</v>
      </c>
      <c r="L118" s="81">
        <v>271.92</v>
      </c>
      <c r="M118" s="81">
        <v>79.069999999999993</v>
      </c>
    </row>
    <row r="119" spans="1:13" x14ac:dyDescent="0.2">
      <c r="A119" s="80">
        <v>45888</v>
      </c>
      <c r="B119" s="81">
        <v>230.56</v>
      </c>
      <c r="C119" s="81">
        <v>175.64</v>
      </c>
      <c r="D119" s="81">
        <v>202.49</v>
      </c>
      <c r="E119" s="81">
        <v>509.77</v>
      </c>
      <c r="F119" s="81">
        <v>751.48</v>
      </c>
      <c r="G119" s="81">
        <v>234.62</v>
      </c>
      <c r="H119" s="81">
        <v>441.1</v>
      </c>
      <c r="I119" s="81">
        <v>153.66</v>
      </c>
      <c r="J119" s="81">
        <v>586.23</v>
      </c>
      <c r="K119" s="81">
        <v>316.39999999999998</v>
      </c>
      <c r="L119" s="81">
        <v>272.23</v>
      </c>
      <c r="M119" s="81">
        <v>79.680000000000007</v>
      </c>
    </row>
    <row r="120" spans="1:13" x14ac:dyDescent="0.2">
      <c r="A120" s="80">
        <v>45889</v>
      </c>
      <c r="B120" s="81">
        <v>226.01</v>
      </c>
      <c r="C120" s="81">
        <v>175.4</v>
      </c>
      <c r="D120" s="81">
        <v>200.19</v>
      </c>
      <c r="E120" s="81">
        <v>505.72</v>
      </c>
      <c r="F120" s="81">
        <v>747.72</v>
      </c>
      <c r="G120" s="81">
        <v>235.06</v>
      </c>
      <c r="H120" s="81">
        <v>446</v>
      </c>
      <c r="I120" s="81">
        <v>156.59</v>
      </c>
      <c r="J120" s="81">
        <v>592.54</v>
      </c>
      <c r="K120" s="81">
        <v>317.48</v>
      </c>
      <c r="L120" s="81">
        <v>276.14999999999998</v>
      </c>
      <c r="M120" s="81">
        <v>79.290000000000006</v>
      </c>
    </row>
    <row r="121" spans="1:13" x14ac:dyDescent="0.2">
      <c r="A121" s="80">
        <v>45890</v>
      </c>
      <c r="B121" s="81">
        <v>224.9</v>
      </c>
      <c r="C121" s="81">
        <v>174.98</v>
      </c>
      <c r="D121" s="81">
        <v>200.62</v>
      </c>
      <c r="E121" s="81">
        <v>504.24</v>
      </c>
      <c r="F121" s="81">
        <v>739.1</v>
      </c>
      <c r="G121" s="81">
        <v>233.16</v>
      </c>
      <c r="H121" s="81">
        <v>447.2</v>
      </c>
      <c r="I121" s="81">
        <v>156.32</v>
      </c>
      <c r="J121" s="81">
        <v>597.21</v>
      </c>
      <c r="K121" s="81">
        <v>316.52999999999997</v>
      </c>
      <c r="L121" s="81">
        <v>276.11</v>
      </c>
      <c r="M121" s="81">
        <v>79.48</v>
      </c>
    </row>
    <row r="122" spans="1:13" x14ac:dyDescent="0.2">
      <c r="A122" s="80">
        <v>45891</v>
      </c>
      <c r="B122" s="81">
        <v>227.76</v>
      </c>
      <c r="C122" s="81">
        <v>177.99</v>
      </c>
      <c r="D122" s="81">
        <v>206.72</v>
      </c>
      <c r="E122" s="81">
        <v>507.23</v>
      </c>
      <c r="F122" s="81">
        <v>754.79</v>
      </c>
      <c r="G122" s="81">
        <v>236.37</v>
      </c>
      <c r="H122" s="81">
        <v>446.2</v>
      </c>
      <c r="I122" s="81">
        <v>156.24</v>
      </c>
      <c r="J122" s="81">
        <v>592.44000000000005</v>
      </c>
      <c r="K122" s="81">
        <v>319.61</v>
      </c>
      <c r="L122" s="81">
        <v>275.77</v>
      </c>
      <c r="M122" s="81">
        <v>81.53</v>
      </c>
    </row>
    <row r="123" spans="1:13" x14ac:dyDescent="0.2">
      <c r="A123" s="80">
        <v>45894</v>
      </c>
      <c r="B123" s="81">
        <v>227.16</v>
      </c>
      <c r="C123" s="81">
        <v>179.81</v>
      </c>
      <c r="D123" s="81">
        <v>209.16</v>
      </c>
      <c r="E123" s="81">
        <v>504.26</v>
      </c>
      <c r="F123" s="81">
        <v>753.3</v>
      </c>
      <c r="G123" s="81">
        <v>235.41</v>
      </c>
      <c r="H123" s="81">
        <v>447.72</v>
      </c>
      <c r="I123" s="81">
        <v>156.27000000000001</v>
      </c>
      <c r="J123" s="81">
        <v>586.74</v>
      </c>
      <c r="K123" s="81">
        <v>319.89</v>
      </c>
      <c r="L123" s="81">
        <v>276.17</v>
      </c>
      <c r="M123" s="81">
        <v>80.760000000000005</v>
      </c>
    </row>
    <row r="124" spans="1:13" x14ac:dyDescent="0.2">
      <c r="A124" s="80">
        <v>45895</v>
      </c>
      <c r="B124" s="81">
        <v>229.31</v>
      </c>
      <c r="C124" s="81">
        <v>181.77</v>
      </c>
      <c r="D124" s="81">
        <v>207.95</v>
      </c>
      <c r="E124" s="81">
        <v>502.04</v>
      </c>
      <c r="F124" s="81">
        <v>754.1</v>
      </c>
      <c r="G124" s="81">
        <v>234.21</v>
      </c>
      <c r="H124" s="81">
        <v>455.46</v>
      </c>
      <c r="I124" s="81">
        <v>159.57</v>
      </c>
      <c r="J124" s="81">
        <v>593.02</v>
      </c>
      <c r="K124" s="81">
        <v>322.18</v>
      </c>
      <c r="L124" s="81">
        <v>277.66000000000003</v>
      </c>
      <c r="M124" s="81">
        <v>81.38</v>
      </c>
    </row>
    <row r="125" spans="1:13" x14ac:dyDescent="0.2">
      <c r="A125" s="80">
        <v>45896</v>
      </c>
      <c r="B125" s="81">
        <v>230.49</v>
      </c>
      <c r="C125" s="81">
        <v>181.6</v>
      </c>
      <c r="D125" s="81">
        <v>208.21</v>
      </c>
      <c r="E125" s="81">
        <v>506.74</v>
      </c>
      <c r="F125" s="81">
        <v>747.38</v>
      </c>
      <c r="G125" s="81">
        <v>235.81</v>
      </c>
      <c r="H125" s="81">
        <v>454.47</v>
      </c>
      <c r="I125" s="81">
        <v>159.84</v>
      </c>
      <c r="J125" s="81">
        <v>586.61</v>
      </c>
      <c r="K125" s="81">
        <v>325.45999999999998</v>
      </c>
      <c r="L125" s="81">
        <v>276.76</v>
      </c>
      <c r="M125" s="81">
        <v>81.89</v>
      </c>
    </row>
    <row r="126" spans="1:13" x14ac:dyDescent="0.2">
      <c r="A126" s="80">
        <v>45897</v>
      </c>
      <c r="B126" s="81">
        <v>232.56</v>
      </c>
      <c r="C126" s="81">
        <v>180.17</v>
      </c>
      <c r="D126" s="81">
        <v>212.37</v>
      </c>
      <c r="E126" s="81">
        <v>509.64</v>
      </c>
      <c r="F126" s="81">
        <v>751.11</v>
      </c>
      <c r="G126" s="81">
        <v>240.32</v>
      </c>
      <c r="H126" s="81">
        <v>456.18</v>
      </c>
      <c r="I126" s="81">
        <v>160.66</v>
      </c>
      <c r="J126" s="81">
        <v>587.9</v>
      </c>
      <c r="K126" s="81">
        <v>324.91000000000003</v>
      </c>
      <c r="L126" s="81">
        <v>277.04000000000002</v>
      </c>
      <c r="M126" s="81">
        <v>80.459999999999994</v>
      </c>
    </row>
    <row r="127" spans="1:13" x14ac:dyDescent="0.2">
      <c r="A127" s="80">
        <v>45898</v>
      </c>
      <c r="B127" s="81">
        <v>232.14</v>
      </c>
      <c r="C127" s="81">
        <v>174.18</v>
      </c>
      <c r="D127" s="81">
        <v>213.53</v>
      </c>
      <c r="E127" s="81">
        <v>506.69</v>
      </c>
      <c r="F127" s="81">
        <v>738.7</v>
      </c>
      <c r="G127" s="81">
        <v>226.13</v>
      </c>
      <c r="H127" s="81">
        <v>455.63</v>
      </c>
      <c r="I127" s="81">
        <v>158.6</v>
      </c>
      <c r="J127" s="81">
        <v>590.04</v>
      </c>
      <c r="K127" s="81">
        <v>324.57</v>
      </c>
      <c r="L127" s="81">
        <v>277.62</v>
      </c>
      <c r="M127" s="81">
        <v>80.16</v>
      </c>
    </row>
    <row r="128" spans="1:13" x14ac:dyDescent="0.2">
      <c r="A128" s="79">
        <v>45902</v>
      </c>
      <c r="B128" s="2">
        <v>229.72</v>
      </c>
      <c r="C128" s="2">
        <v>170.78</v>
      </c>
      <c r="D128" s="2">
        <v>211.99</v>
      </c>
      <c r="E128" s="2">
        <v>505.12</v>
      </c>
      <c r="F128" s="2">
        <v>735.11</v>
      </c>
      <c r="G128" s="2">
        <v>225.3</v>
      </c>
      <c r="H128" s="2">
        <v>452.5</v>
      </c>
      <c r="I128" s="2">
        <v>158.01</v>
      </c>
      <c r="J128" s="2">
        <v>589.32000000000005</v>
      </c>
      <c r="K128" s="2">
        <v>324.39</v>
      </c>
      <c r="L128" s="2">
        <v>275.12</v>
      </c>
      <c r="M128" s="2">
        <v>79.53</v>
      </c>
    </row>
    <row r="129" spans="1:13" x14ac:dyDescent="0.2">
      <c r="A129" s="80">
        <v>45903</v>
      </c>
      <c r="B129" s="81">
        <v>238.47</v>
      </c>
      <c r="C129" s="81">
        <v>170.62</v>
      </c>
      <c r="D129" s="81">
        <v>231.1</v>
      </c>
      <c r="E129" s="81">
        <v>505.35</v>
      </c>
      <c r="F129" s="81">
        <v>737.05</v>
      </c>
      <c r="G129" s="81">
        <v>223.45</v>
      </c>
      <c r="H129" s="81">
        <v>449.06</v>
      </c>
      <c r="I129" s="81">
        <v>158.11000000000001</v>
      </c>
      <c r="J129" s="81">
        <v>581.01</v>
      </c>
      <c r="K129" s="81">
        <v>322.81</v>
      </c>
      <c r="L129" s="81">
        <v>273.11</v>
      </c>
      <c r="M129" s="81">
        <v>79.7</v>
      </c>
    </row>
    <row r="130" spans="1:13" x14ac:dyDescent="0.2">
      <c r="A130" s="80">
        <v>45904</v>
      </c>
      <c r="B130" s="81">
        <v>239.78</v>
      </c>
      <c r="C130" s="81">
        <v>171.66</v>
      </c>
      <c r="D130" s="81">
        <v>232.66</v>
      </c>
      <c r="E130" s="81">
        <v>507.97</v>
      </c>
      <c r="F130" s="81">
        <v>748.65</v>
      </c>
      <c r="G130" s="81">
        <v>223</v>
      </c>
      <c r="H130" s="81">
        <v>456.85</v>
      </c>
      <c r="I130" s="81">
        <v>158.68</v>
      </c>
      <c r="J130" s="81">
        <v>579.76</v>
      </c>
      <c r="K130" s="81">
        <v>322.44</v>
      </c>
      <c r="L130" s="81">
        <v>272.99</v>
      </c>
      <c r="M130" s="81">
        <v>81.33</v>
      </c>
    </row>
    <row r="131" spans="1:13" x14ac:dyDescent="0.2">
      <c r="A131" s="80">
        <v>45905</v>
      </c>
      <c r="B131" s="81">
        <v>239.69</v>
      </c>
      <c r="C131" s="81">
        <v>167.02</v>
      </c>
      <c r="D131" s="81">
        <v>235.17</v>
      </c>
      <c r="E131" s="81">
        <v>495</v>
      </c>
      <c r="F131" s="81">
        <v>752.45</v>
      </c>
      <c r="G131" s="81">
        <v>232.8</v>
      </c>
      <c r="H131" s="81">
        <v>463.9</v>
      </c>
      <c r="I131" s="81">
        <v>157.52000000000001</v>
      </c>
      <c r="J131" s="81">
        <v>580.79999999999995</v>
      </c>
      <c r="K131" s="81">
        <v>322.86</v>
      </c>
      <c r="L131" s="81">
        <v>272.39</v>
      </c>
      <c r="M131" s="81">
        <v>81.45</v>
      </c>
    </row>
    <row r="132" spans="1:13" x14ac:dyDescent="0.2">
      <c r="A132" s="80">
        <v>45908</v>
      </c>
      <c r="B132" s="81">
        <v>237.88</v>
      </c>
      <c r="C132" s="81">
        <v>168.31</v>
      </c>
      <c r="D132" s="81">
        <v>234.16</v>
      </c>
      <c r="E132" s="81">
        <v>498.2</v>
      </c>
      <c r="F132" s="81">
        <v>752.3</v>
      </c>
      <c r="G132" s="81">
        <v>238.48</v>
      </c>
      <c r="H132" s="81">
        <v>459.11</v>
      </c>
      <c r="I132" s="81">
        <v>154.22</v>
      </c>
      <c r="J132" s="81">
        <v>581.9</v>
      </c>
      <c r="K132" s="81">
        <v>322.72000000000003</v>
      </c>
      <c r="L132" s="81">
        <v>273.89</v>
      </c>
      <c r="M132" s="81">
        <v>82.74</v>
      </c>
    </row>
    <row r="133" spans="1:13" x14ac:dyDescent="0.2">
      <c r="A133" s="80">
        <v>45909</v>
      </c>
      <c r="B133" s="81">
        <v>234.35</v>
      </c>
      <c r="C133" s="81">
        <v>170.76</v>
      </c>
      <c r="D133" s="81">
        <v>239.94</v>
      </c>
      <c r="E133" s="81">
        <v>498.41</v>
      </c>
      <c r="F133" s="81">
        <v>765.7</v>
      </c>
      <c r="G133" s="81">
        <v>241.51</v>
      </c>
      <c r="H133" s="81">
        <v>457.06</v>
      </c>
      <c r="I133" s="81">
        <v>151.75</v>
      </c>
      <c r="J133" s="81">
        <v>571.63</v>
      </c>
      <c r="K133" s="81">
        <v>321.33</v>
      </c>
      <c r="L133" s="81">
        <v>270.70999999999998</v>
      </c>
      <c r="M133" s="81">
        <v>80.53</v>
      </c>
    </row>
    <row r="134" spans="1:13" x14ac:dyDescent="0.2">
      <c r="A134" s="80">
        <v>45910</v>
      </c>
      <c r="B134" s="81">
        <v>226.79</v>
      </c>
      <c r="C134" s="81">
        <v>177.33</v>
      </c>
      <c r="D134" s="81">
        <v>239.56</v>
      </c>
      <c r="E134" s="81">
        <v>500.37</v>
      </c>
      <c r="F134" s="81">
        <v>751.98</v>
      </c>
      <c r="G134" s="81">
        <v>328.33</v>
      </c>
      <c r="H134" s="81">
        <v>463.87</v>
      </c>
      <c r="I134" s="81">
        <v>155</v>
      </c>
      <c r="J134" s="81">
        <v>579.87</v>
      </c>
      <c r="K134" s="81">
        <v>323.05</v>
      </c>
      <c r="L134" s="81">
        <v>275.64</v>
      </c>
      <c r="M134" s="81">
        <v>81.02</v>
      </c>
    </row>
    <row r="135" spans="1:13" x14ac:dyDescent="0.2">
      <c r="A135" s="80">
        <v>45911</v>
      </c>
      <c r="B135" s="81">
        <v>230.03</v>
      </c>
      <c r="C135" s="81">
        <v>177.17</v>
      </c>
      <c r="D135" s="81">
        <v>240.78</v>
      </c>
      <c r="E135" s="81">
        <v>501.01</v>
      </c>
      <c r="F135" s="81">
        <v>750.9</v>
      </c>
      <c r="G135" s="81">
        <v>307.86</v>
      </c>
      <c r="H135" s="81">
        <v>470.73</v>
      </c>
      <c r="I135" s="81">
        <v>157.65</v>
      </c>
      <c r="J135" s="81">
        <v>582.95000000000005</v>
      </c>
      <c r="K135" s="81">
        <v>329.62</v>
      </c>
      <c r="L135" s="81">
        <v>280.63</v>
      </c>
      <c r="M135" s="81">
        <v>82.24</v>
      </c>
    </row>
    <row r="136" spans="1:13" x14ac:dyDescent="0.2">
      <c r="A136" s="80">
        <v>45912</v>
      </c>
      <c r="B136" s="81">
        <v>234.07</v>
      </c>
      <c r="C136" s="81">
        <v>177.82</v>
      </c>
      <c r="D136" s="81">
        <v>241.38</v>
      </c>
      <c r="E136" s="81">
        <v>509.9</v>
      </c>
      <c r="F136" s="81">
        <v>755.59</v>
      </c>
      <c r="G136" s="81">
        <v>292.18</v>
      </c>
      <c r="H136" s="81">
        <v>471.31</v>
      </c>
      <c r="I136" s="81">
        <v>155.85</v>
      </c>
      <c r="J136" s="81">
        <v>575.96</v>
      </c>
      <c r="K136" s="81">
        <v>326.14999999999998</v>
      </c>
      <c r="L136" s="81">
        <v>279.2</v>
      </c>
      <c r="M136" s="81">
        <v>81.23</v>
      </c>
    </row>
    <row r="137" spans="1:13" x14ac:dyDescent="0.2">
      <c r="A137" s="80">
        <v>45915</v>
      </c>
      <c r="B137" s="81">
        <v>236.7</v>
      </c>
      <c r="C137" s="81">
        <v>177.75</v>
      </c>
      <c r="D137" s="81">
        <v>251.76</v>
      </c>
      <c r="E137" s="81">
        <v>515.36</v>
      </c>
      <c r="F137" s="81">
        <v>764.7</v>
      </c>
      <c r="G137" s="81">
        <v>302.14</v>
      </c>
      <c r="H137" s="81">
        <v>473.25</v>
      </c>
      <c r="I137" s="81">
        <v>158.37</v>
      </c>
      <c r="J137" s="81">
        <v>574.54</v>
      </c>
      <c r="K137" s="81">
        <v>326.98</v>
      </c>
      <c r="L137" s="81">
        <v>281.89</v>
      </c>
      <c r="M137" s="81">
        <v>82.23</v>
      </c>
    </row>
    <row r="138" spans="1:13" x14ac:dyDescent="0.2">
      <c r="A138" s="80">
        <v>45916</v>
      </c>
      <c r="B138" s="81">
        <v>238.15</v>
      </c>
      <c r="C138" s="81">
        <v>174.88</v>
      </c>
      <c r="D138" s="81">
        <v>251.42</v>
      </c>
      <c r="E138" s="81">
        <v>509.04</v>
      </c>
      <c r="F138" s="81">
        <v>779</v>
      </c>
      <c r="G138" s="81">
        <v>306.64999999999998</v>
      </c>
      <c r="H138" s="81">
        <v>474.32</v>
      </c>
      <c r="I138" s="81">
        <v>158.58000000000001</v>
      </c>
      <c r="J138" s="81">
        <v>579.36</v>
      </c>
      <c r="K138" s="81">
        <v>326.39999999999998</v>
      </c>
      <c r="L138" s="81">
        <v>284.27</v>
      </c>
      <c r="M138" s="81">
        <v>83.43</v>
      </c>
    </row>
    <row r="139" spans="1:13" x14ac:dyDescent="0.2">
      <c r="A139" s="80">
        <v>45917</v>
      </c>
      <c r="B139" s="81">
        <v>238.99</v>
      </c>
      <c r="C139" s="81">
        <v>170.29</v>
      </c>
      <c r="D139" s="81">
        <v>249.85</v>
      </c>
      <c r="E139" s="81">
        <v>510.02</v>
      </c>
      <c r="F139" s="81">
        <v>775.71500000000003</v>
      </c>
      <c r="G139" s="81">
        <v>301.41000000000003</v>
      </c>
      <c r="H139" s="81">
        <v>473.12</v>
      </c>
      <c r="I139" s="81">
        <v>158.31</v>
      </c>
      <c r="J139" s="81">
        <v>577.08000000000004</v>
      </c>
      <c r="K139" s="81">
        <v>325.27999999999997</v>
      </c>
      <c r="L139" s="81">
        <v>281.86</v>
      </c>
      <c r="M139" s="81">
        <v>82.71</v>
      </c>
    </row>
    <row r="140" spans="1:13" x14ac:dyDescent="0.2">
      <c r="A140" s="80">
        <v>45918</v>
      </c>
      <c r="B140" s="81">
        <v>237.88</v>
      </c>
      <c r="C140" s="81">
        <v>176.24</v>
      </c>
      <c r="D140" s="81">
        <v>252.33</v>
      </c>
      <c r="E140" s="81">
        <v>508.45</v>
      </c>
      <c r="F140" s="81">
        <v>780.25</v>
      </c>
      <c r="G140" s="81">
        <v>296.62</v>
      </c>
      <c r="H140" s="81">
        <v>473.62</v>
      </c>
      <c r="I140" s="81">
        <v>158.19</v>
      </c>
      <c r="J140" s="81">
        <v>573.75</v>
      </c>
      <c r="K140" s="81">
        <v>324.57</v>
      </c>
      <c r="L140" s="81">
        <v>282.73</v>
      </c>
      <c r="M140" s="81">
        <v>83.92</v>
      </c>
    </row>
    <row r="141" spans="1:13" x14ac:dyDescent="0.2">
      <c r="A141" s="80">
        <v>45919</v>
      </c>
      <c r="B141" s="81">
        <v>245.5</v>
      </c>
      <c r="C141" s="81">
        <v>176.67</v>
      </c>
      <c r="D141" s="81">
        <v>255.24</v>
      </c>
      <c r="E141" s="81">
        <v>517.92999999999995</v>
      </c>
      <c r="F141" s="81">
        <v>778.38</v>
      </c>
      <c r="G141" s="81">
        <v>308.66000000000003</v>
      </c>
      <c r="H141" s="81">
        <v>472.94</v>
      </c>
      <c r="I141" s="81">
        <v>158.24</v>
      </c>
      <c r="J141" s="81">
        <v>573.03</v>
      </c>
      <c r="K141" s="81">
        <v>324.08</v>
      </c>
      <c r="L141" s="81">
        <v>283.94</v>
      </c>
      <c r="M141" s="81">
        <v>83.62</v>
      </c>
    </row>
    <row r="142" spans="1:13" x14ac:dyDescent="0.2">
      <c r="A142" s="80">
        <v>45922</v>
      </c>
      <c r="B142" s="81">
        <v>256.08</v>
      </c>
      <c r="C142" s="81">
        <v>183.61</v>
      </c>
      <c r="D142" s="81">
        <v>252.88</v>
      </c>
      <c r="E142" s="81">
        <v>514.45000000000005</v>
      </c>
      <c r="F142" s="81">
        <v>765.16</v>
      </c>
      <c r="G142" s="81">
        <v>328.15</v>
      </c>
      <c r="H142" s="81">
        <v>480.39</v>
      </c>
      <c r="I142" s="81">
        <v>159.43</v>
      </c>
      <c r="J142" s="81">
        <v>576.15</v>
      </c>
      <c r="K142" s="81">
        <v>322.66000000000003</v>
      </c>
      <c r="L142" s="81">
        <v>284.32</v>
      </c>
      <c r="M142" s="81">
        <v>83.49</v>
      </c>
    </row>
    <row r="143" spans="1:13" x14ac:dyDescent="0.2">
      <c r="A143" s="80">
        <v>45923</v>
      </c>
      <c r="B143" s="81">
        <v>254.43</v>
      </c>
      <c r="C143" s="81">
        <v>178.43</v>
      </c>
      <c r="D143" s="81">
        <v>252.34</v>
      </c>
      <c r="E143" s="81">
        <v>509.23</v>
      </c>
      <c r="F143" s="81">
        <v>755.4</v>
      </c>
      <c r="G143" s="81">
        <v>313.83</v>
      </c>
      <c r="H143" s="81">
        <v>486.67</v>
      </c>
      <c r="I143" s="81">
        <v>160.54</v>
      </c>
      <c r="J143" s="81">
        <v>577.08000000000004</v>
      </c>
      <c r="K143" s="81">
        <v>323.2</v>
      </c>
      <c r="L143" s="81">
        <v>286.19</v>
      </c>
      <c r="M143" s="81">
        <v>83.01</v>
      </c>
    </row>
    <row r="144" spans="1:13" x14ac:dyDescent="0.2">
      <c r="A144" s="80">
        <v>45924</v>
      </c>
      <c r="B144" s="81">
        <v>252.31</v>
      </c>
      <c r="C144" s="81">
        <v>176.97</v>
      </c>
      <c r="D144" s="81">
        <v>247.83</v>
      </c>
      <c r="E144" s="81">
        <v>510.15</v>
      </c>
      <c r="F144" s="81">
        <v>760.66</v>
      </c>
      <c r="G144" s="81">
        <v>308.45999999999998</v>
      </c>
      <c r="H144" s="81">
        <v>486.25</v>
      </c>
      <c r="I144" s="81">
        <v>161.38</v>
      </c>
      <c r="J144" s="81">
        <v>586.27</v>
      </c>
      <c r="K144" s="81">
        <v>323.62</v>
      </c>
      <c r="L144" s="81">
        <v>284</v>
      </c>
      <c r="M144" s="81">
        <v>82.76</v>
      </c>
    </row>
    <row r="145" spans="1:13" x14ac:dyDescent="0.2">
      <c r="A145" s="80">
        <v>45925</v>
      </c>
      <c r="B145" s="81">
        <v>256.87</v>
      </c>
      <c r="C145" s="81">
        <v>177.69</v>
      </c>
      <c r="D145" s="81">
        <v>246.57</v>
      </c>
      <c r="E145" s="81">
        <v>507.03</v>
      </c>
      <c r="F145" s="81">
        <v>748.91</v>
      </c>
      <c r="G145" s="81">
        <v>291.33</v>
      </c>
      <c r="H145" s="81">
        <v>484.34</v>
      </c>
      <c r="I145" s="81">
        <v>160.51</v>
      </c>
      <c r="J145" s="81">
        <v>585.77</v>
      </c>
      <c r="K145" s="81">
        <v>324.43</v>
      </c>
      <c r="L145" s="81">
        <v>289.24</v>
      </c>
      <c r="M145" s="81">
        <v>82.35</v>
      </c>
    </row>
    <row r="146" spans="1:13" x14ac:dyDescent="0.2">
      <c r="A146" s="80">
        <v>45926</v>
      </c>
      <c r="B146" s="81">
        <v>255.46</v>
      </c>
      <c r="C146" s="81">
        <v>178.19</v>
      </c>
      <c r="D146" s="81">
        <v>247.18</v>
      </c>
      <c r="E146" s="81">
        <v>511.46</v>
      </c>
      <c r="F146" s="81">
        <v>743.75</v>
      </c>
      <c r="G146" s="81">
        <v>283.45999999999998</v>
      </c>
      <c r="H146" s="81">
        <v>487.44</v>
      </c>
      <c r="I146" s="81">
        <v>163.35</v>
      </c>
      <c r="J146" s="81">
        <v>594.52</v>
      </c>
      <c r="K146" s="81">
        <v>330.34</v>
      </c>
      <c r="L146" s="81">
        <v>293.56</v>
      </c>
      <c r="M146" s="81">
        <v>83.49</v>
      </c>
    </row>
    <row r="147" spans="1:13" x14ac:dyDescent="0.2">
      <c r="A147" s="80">
        <v>45929</v>
      </c>
      <c r="B147" s="81">
        <v>254.43</v>
      </c>
      <c r="C147" s="81">
        <v>181.85</v>
      </c>
      <c r="D147" s="81">
        <v>244.36</v>
      </c>
      <c r="E147" s="81">
        <v>514.6</v>
      </c>
      <c r="F147" s="81">
        <v>743.4</v>
      </c>
      <c r="G147" s="81">
        <v>282.76</v>
      </c>
      <c r="H147" s="81">
        <v>491.98</v>
      </c>
      <c r="I147" s="81">
        <v>163.63</v>
      </c>
      <c r="J147" s="81">
        <v>593.99</v>
      </c>
      <c r="K147" s="81">
        <v>332.17</v>
      </c>
      <c r="L147" s="81">
        <v>296.95</v>
      </c>
      <c r="M147" s="81">
        <v>84.03</v>
      </c>
    </row>
    <row r="148" spans="1:13" x14ac:dyDescent="0.2">
      <c r="A148" s="80">
        <v>45930</v>
      </c>
      <c r="B148" s="81">
        <v>254.63</v>
      </c>
      <c r="C148" s="81">
        <v>186.58</v>
      </c>
      <c r="D148" s="81">
        <v>243.55</v>
      </c>
      <c r="E148" s="81">
        <v>517.95000000000005</v>
      </c>
      <c r="F148" s="81">
        <v>734.38</v>
      </c>
      <c r="G148" s="81">
        <v>281.24</v>
      </c>
      <c r="H148" s="81">
        <v>499.21</v>
      </c>
      <c r="I148" s="81">
        <v>167.33</v>
      </c>
      <c r="J148" s="81">
        <v>609.32000000000005</v>
      </c>
      <c r="K148" s="81">
        <v>341</v>
      </c>
      <c r="L148" s="81">
        <v>305.41000000000003</v>
      </c>
      <c r="M148" s="81">
        <v>84.49</v>
      </c>
    </row>
    <row r="149" spans="1:13" x14ac:dyDescent="0.2">
      <c r="A149" s="79">
        <v>45931</v>
      </c>
      <c r="B149" s="2">
        <v>255.45</v>
      </c>
      <c r="C149" s="2">
        <v>187.24</v>
      </c>
      <c r="D149" s="2">
        <v>245.54</v>
      </c>
      <c r="E149" s="2">
        <v>519.71</v>
      </c>
      <c r="F149" s="2">
        <v>717.34</v>
      </c>
      <c r="G149" s="2">
        <v>289.01</v>
      </c>
      <c r="H149" s="2">
        <v>499</v>
      </c>
      <c r="I149" s="2">
        <v>167.2</v>
      </c>
      <c r="J149" s="2">
        <v>605.41999999999996</v>
      </c>
      <c r="K149" s="2">
        <v>340.75</v>
      </c>
      <c r="L149" s="2">
        <v>300.47000000000003</v>
      </c>
      <c r="M149" s="2">
        <v>85.21</v>
      </c>
    </row>
    <row r="150" spans="1:13" x14ac:dyDescent="0.2">
      <c r="A150" s="80">
        <v>45932</v>
      </c>
      <c r="B150" s="81">
        <v>257.13</v>
      </c>
      <c r="C150" s="81">
        <v>188.89</v>
      </c>
      <c r="D150" s="81">
        <v>246.43</v>
      </c>
      <c r="E150" s="81">
        <v>515.74</v>
      </c>
      <c r="F150" s="81">
        <v>727.05</v>
      </c>
      <c r="G150" s="81">
        <v>288.77999999999997</v>
      </c>
      <c r="H150" s="81">
        <v>499.36</v>
      </c>
      <c r="I150" s="81">
        <v>166.63</v>
      </c>
      <c r="J150" s="81">
        <v>605.01</v>
      </c>
      <c r="K150" s="81">
        <v>341.05</v>
      </c>
      <c r="L150" s="81">
        <v>296.10000000000002</v>
      </c>
      <c r="M150" s="81">
        <v>86.35</v>
      </c>
    </row>
    <row r="151" spans="1:13" x14ac:dyDescent="0.2">
      <c r="A151" s="80">
        <v>45933</v>
      </c>
      <c r="B151" s="81">
        <v>258.02</v>
      </c>
      <c r="C151" s="81">
        <v>187.62</v>
      </c>
      <c r="D151" s="81">
        <v>246.45</v>
      </c>
      <c r="E151" s="81">
        <v>517.35</v>
      </c>
      <c r="F151" s="81">
        <v>710.56</v>
      </c>
      <c r="G151" s="81">
        <v>286.14</v>
      </c>
      <c r="H151" s="81">
        <v>504.49</v>
      </c>
      <c r="I151" s="81">
        <v>166.58</v>
      </c>
      <c r="J151" s="81">
        <v>609.54</v>
      </c>
      <c r="K151" s="81">
        <v>343.62</v>
      </c>
      <c r="L151" s="81">
        <v>297.39</v>
      </c>
      <c r="M151" s="81">
        <v>86.85</v>
      </c>
    </row>
    <row r="152" spans="1:13" x14ac:dyDescent="0.2">
      <c r="A152" s="80">
        <v>45936</v>
      </c>
      <c r="B152" s="81">
        <v>256.69</v>
      </c>
      <c r="C152" s="81">
        <v>185.54</v>
      </c>
      <c r="D152" s="81">
        <v>251.51</v>
      </c>
      <c r="E152" s="81">
        <v>528.57000000000005</v>
      </c>
      <c r="F152" s="81">
        <v>715.66</v>
      </c>
      <c r="G152" s="81">
        <v>291.58999999999997</v>
      </c>
      <c r="H152" s="81">
        <v>514.24</v>
      </c>
      <c r="I152" s="81">
        <v>168.8</v>
      </c>
      <c r="J152" s="81">
        <v>618.52</v>
      </c>
      <c r="K152" s="81">
        <v>346.5</v>
      </c>
      <c r="L152" s="81">
        <v>303.01</v>
      </c>
      <c r="M152" s="81">
        <v>87.34</v>
      </c>
    </row>
    <row r="153" spans="1:13" x14ac:dyDescent="0.2">
      <c r="A153" s="80">
        <v>45937</v>
      </c>
      <c r="B153" s="81">
        <v>256.48</v>
      </c>
      <c r="C153" s="81">
        <v>185.04</v>
      </c>
      <c r="D153" s="81">
        <v>247.13</v>
      </c>
      <c r="E153" s="81">
        <v>523.98</v>
      </c>
      <c r="F153" s="81">
        <v>713.08</v>
      </c>
      <c r="G153" s="81">
        <v>284.24</v>
      </c>
      <c r="H153" s="81">
        <v>511.07</v>
      </c>
      <c r="I153" s="81">
        <v>169.27</v>
      </c>
      <c r="J153" s="81">
        <v>621.63</v>
      </c>
      <c r="K153" s="81">
        <v>343.43</v>
      </c>
      <c r="L153" s="81">
        <v>301.43</v>
      </c>
      <c r="M153" s="81">
        <v>85.03</v>
      </c>
    </row>
    <row r="154" spans="1:13" x14ac:dyDescent="0.2">
      <c r="A154" s="80">
        <v>45938</v>
      </c>
      <c r="B154" s="81">
        <v>258.06</v>
      </c>
      <c r="C154" s="81">
        <v>189.11</v>
      </c>
      <c r="D154" s="81">
        <v>245.46</v>
      </c>
      <c r="E154" s="81">
        <v>524.85</v>
      </c>
      <c r="F154" s="81">
        <v>717.84</v>
      </c>
      <c r="G154" s="81">
        <v>288.63</v>
      </c>
      <c r="H154" s="81">
        <v>514.02</v>
      </c>
      <c r="I154" s="81">
        <v>168.57</v>
      </c>
      <c r="J154" s="81">
        <v>637.95000000000005</v>
      </c>
      <c r="K154" s="81">
        <v>346.44</v>
      </c>
      <c r="L154" s="81">
        <v>306.76</v>
      </c>
      <c r="M154" s="81">
        <v>86.22</v>
      </c>
    </row>
    <row r="155" spans="1:13" x14ac:dyDescent="0.2">
      <c r="A155" s="80">
        <v>45939</v>
      </c>
      <c r="B155" s="81">
        <v>254.04</v>
      </c>
      <c r="C155" s="81">
        <v>192.57</v>
      </c>
      <c r="D155" s="81">
        <v>242.21</v>
      </c>
      <c r="E155" s="81">
        <v>522.4</v>
      </c>
      <c r="F155" s="81">
        <v>733.51</v>
      </c>
      <c r="G155" s="81">
        <v>296.95999999999998</v>
      </c>
      <c r="H155" s="81">
        <v>507.76</v>
      </c>
      <c r="I155" s="81">
        <v>162.18</v>
      </c>
      <c r="J155" s="81">
        <v>635.01</v>
      </c>
      <c r="K155" s="81">
        <v>342.77</v>
      </c>
      <c r="L155" s="81">
        <v>298.2</v>
      </c>
      <c r="M155" s="81">
        <v>84.64</v>
      </c>
    </row>
    <row r="156" spans="1:13" x14ac:dyDescent="0.2">
      <c r="A156" s="80">
        <v>45940</v>
      </c>
      <c r="B156" s="81">
        <v>245.27</v>
      </c>
      <c r="C156" s="81">
        <v>183.16</v>
      </c>
      <c r="D156" s="81">
        <v>237.49</v>
      </c>
      <c r="E156" s="81">
        <v>510.96</v>
      </c>
      <c r="F156" s="81">
        <v>705.3</v>
      </c>
      <c r="G156" s="81">
        <v>292.95999999999998</v>
      </c>
      <c r="H156" s="81">
        <v>505.05</v>
      </c>
      <c r="I156" s="81">
        <v>157.69999999999999</v>
      </c>
      <c r="J156" s="81">
        <v>623.49</v>
      </c>
      <c r="K156" s="81">
        <v>332.94</v>
      </c>
      <c r="L156" s="81">
        <v>292.33999999999997</v>
      </c>
      <c r="M156" s="81">
        <v>81.53</v>
      </c>
    </row>
    <row r="157" spans="1:13" x14ac:dyDescent="0.2">
      <c r="A157" s="80">
        <v>45943</v>
      </c>
      <c r="B157" s="81">
        <v>247.66</v>
      </c>
      <c r="C157" s="81">
        <v>188.32</v>
      </c>
      <c r="D157" s="81">
        <v>244.64</v>
      </c>
      <c r="E157" s="81">
        <v>514.04999999999995</v>
      </c>
      <c r="F157" s="81">
        <v>715.7</v>
      </c>
      <c r="G157" s="81">
        <v>308.01</v>
      </c>
      <c r="H157" s="81">
        <v>503.83</v>
      </c>
      <c r="I157" s="81">
        <v>158.85</v>
      </c>
      <c r="J157" s="81">
        <v>618.88</v>
      </c>
      <c r="K157" s="81">
        <v>334.39</v>
      </c>
      <c r="L157" s="81">
        <v>293.42</v>
      </c>
      <c r="M157" s="81">
        <v>81.739999999999995</v>
      </c>
    </row>
    <row r="158" spans="1:13" x14ac:dyDescent="0.2">
      <c r="A158" s="80">
        <v>45944</v>
      </c>
      <c r="B158" s="81">
        <v>247.77</v>
      </c>
      <c r="C158" s="81">
        <v>180.03</v>
      </c>
      <c r="D158" s="81">
        <v>246.19</v>
      </c>
      <c r="E158" s="81">
        <v>513.57000000000005</v>
      </c>
      <c r="F158" s="81">
        <v>708.65</v>
      </c>
      <c r="G158" s="81">
        <v>299</v>
      </c>
      <c r="H158" s="81">
        <v>505.18</v>
      </c>
      <c r="I158" s="81">
        <v>159.4</v>
      </c>
      <c r="J158" s="81">
        <v>626.92999999999995</v>
      </c>
      <c r="K158" s="81">
        <v>335.5</v>
      </c>
      <c r="L158" s="81">
        <v>299.99</v>
      </c>
      <c r="M158" s="81">
        <v>83.76</v>
      </c>
    </row>
    <row r="159" spans="1:13" x14ac:dyDescent="0.2">
      <c r="A159" s="80">
        <v>45945</v>
      </c>
      <c r="B159" s="81">
        <v>249.34</v>
      </c>
      <c r="C159" s="81">
        <v>179.83</v>
      </c>
      <c r="D159" s="81">
        <v>251.71</v>
      </c>
      <c r="E159" s="81">
        <v>513.42999999999995</v>
      </c>
      <c r="F159" s="81">
        <v>717.55</v>
      </c>
      <c r="G159" s="81">
        <v>303.62</v>
      </c>
      <c r="H159" s="81">
        <v>499.41</v>
      </c>
      <c r="I159" s="81">
        <v>157</v>
      </c>
      <c r="J159" s="81">
        <v>608.92999999999995</v>
      </c>
      <c r="K159" s="81">
        <v>332.04</v>
      </c>
      <c r="L159" s="81">
        <v>289.72000000000003</v>
      </c>
      <c r="M159" s="81">
        <v>82.51</v>
      </c>
    </row>
    <row r="160" spans="1:13" x14ac:dyDescent="0.2">
      <c r="A160" s="80">
        <v>45946</v>
      </c>
      <c r="B160" s="81">
        <v>247.45</v>
      </c>
      <c r="C160" s="81">
        <v>181.81</v>
      </c>
      <c r="D160" s="81">
        <v>251.88</v>
      </c>
      <c r="E160" s="81">
        <v>511.61</v>
      </c>
      <c r="F160" s="81">
        <v>712.07</v>
      </c>
      <c r="G160" s="81">
        <v>313</v>
      </c>
      <c r="H160" s="81">
        <v>493.25</v>
      </c>
      <c r="I160" s="81">
        <v>157.05000000000001</v>
      </c>
      <c r="J160" s="81">
        <v>598.98</v>
      </c>
      <c r="K160" s="81">
        <v>330.59</v>
      </c>
      <c r="L160" s="81">
        <v>284.29000000000002</v>
      </c>
      <c r="M160" s="81">
        <v>81.650000000000006</v>
      </c>
    </row>
    <row r="161" spans="1:13" x14ac:dyDescent="0.2">
      <c r="A161" s="80">
        <v>45947</v>
      </c>
      <c r="B161" s="81">
        <v>252.29</v>
      </c>
      <c r="C161" s="81">
        <v>183.22</v>
      </c>
      <c r="D161" s="81">
        <v>253.79</v>
      </c>
      <c r="E161" s="81">
        <v>513.58000000000004</v>
      </c>
      <c r="F161" s="81">
        <v>716.91499999999996</v>
      </c>
      <c r="G161" s="81">
        <v>291.31</v>
      </c>
      <c r="H161" s="81">
        <v>495.15</v>
      </c>
      <c r="I161" s="81">
        <v>157.94999999999999</v>
      </c>
      <c r="J161" s="81">
        <v>594.5</v>
      </c>
      <c r="K161" s="81">
        <v>331.15</v>
      </c>
      <c r="L161" s="81">
        <v>283.87</v>
      </c>
      <c r="M161" s="81">
        <v>81.36</v>
      </c>
    </row>
    <row r="162" spans="1:13" x14ac:dyDescent="0.2">
      <c r="A162" s="80">
        <v>45950</v>
      </c>
      <c r="B162" s="81">
        <v>262.24</v>
      </c>
      <c r="C162" s="81">
        <v>182.64</v>
      </c>
      <c r="D162" s="81">
        <v>257.02</v>
      </c>
      <c r="E162" s="81">
        <v>516.79</v>
      </c>
      <c r="F162" s="81">
        <v>732.17</v>
      </c>
      <c r="G162" s="81">
        <v>277.18</v>
      </c>
      <c r="H162" s="81">
        <v>505.9</v>
      </c>
      <c r="I162" s="81">
        <v>160.71</v>
      </c>
      <c r="J162" s="81">
        <v>602</v>
      </c>
      <c r="K162" s="81">
        <v>337.19</v>
      </c>
      <c r="L162" s="81">
        <v>290.56</v>
      </c>
      <c r="M162" s="81">
        <v>82.4</v>
      </c>
    </row>
    <row r="163" spans="1:13" x14ac:dyDescent="0.2">
      <c r="A163" s="80">
        <v>45951</v>
      </c>
      <c r="B163" s="81">
        <v>262.77</v>
      </c>
      <c r="C163" s="81">
        <v>181.16</v>
      </c>
      <c r="D163" s="81">
        <v>251.34</v>
      </c>
      <c r="E163" s="81">
        <v>517.66</v>
      </c>
      <c r="F163" s="81">
        <v>733.27</v>
      </c>
      <c r="G163" s="81">
        <v>275.14999999999998</v>
      </c>
      <c r="H163" s="81">
        <v>489.5</v>
      </c>
      <c r="I163" s="81">
        <v>173.04</v>
      </c>
      <c r="J163" s="81">
        <v>599.35</v>
      </c>
      <c r="K163" s="81">
        <v>340.69</v>
      </c>
      <c r="L163" s="81">
        <v>292.3</v>
      </c>
      <c r="M163" s="81">
        <v>83.02</v>
      </c>
    </row>
    <row r="164" spans="1:13" x14ac:dyDescent="0.2">
      <c r="A164" s="80">
        <v>45952</v>
      </c>
      <c r="B164" s="81">
        <v>258.45</v>
      </c>
      <c r="C164" s="81">
        <v>180.28</v>
      </c>
      <c r="D164" s="81">
        <v>252.53</v>
      </c>
      <c r="E164" s="81">
        <v>520.54</v>
      </c>
      <c r="F164" s="81">
        <v>733.41</v>
      </c>
      <c r="G164" s="81">
        <v>272.66000000000003</v>
      </c>
      <c r="H164" s="81">
        <v>487.14</v>
      </c>
      <c r="I164" s="81">
        <v>177.98</v>
      </c>
      <c r="J164" s="81">
        <v>596.48</v>
      </c>
      <c r="K164" s="81">
        <v>338.24</v>
      </c>
      <c r="L164" s="81">
        <v>288.97000000000003</v>
      </c>
      <c r="M164" s="81">
        <v>82.58</v>
      </c>
    </row>
    <row r="165" spans="1:13" x14ac:dyDescent="0.2">
      <c r="A165" s="80">
        <v>45953</v>
      </c>
      <c r="B165" s="81">
        <v>259.58</v>
      </c>
      <c r="C165" s="81">
        <v>182.16</v>
      </c>
      <c r="D165" s="81">
        <v>253.73</v>
      </c>
      <c r="E165" s="81">
        <v>520.55999999999995</v>
      </c>
      <c r="F165" s="81">
        <v>734</v>
      </c>
      <c r="G165" s="81">
        <v>280.07</v>
      </c>
      <c r="H165" s="81">
        <v>488.05</v>
      </c>
      <c r="I165" s="81">
        <v>179.44</v>
      </c>
      <c r="J165" s="81">
        <v>605.74</v>
      </c>
      <c r="K165" s="81">
        <v>341.5</v>
      </c>
      <c r="L165" s="81">
        <v>293.27999999999997</v>
      </c>
      <c r="M165" s="81">
        <v>79.47</v>
      </c>
    </row>
    <row r="166" spans="1:13" x14ac:dyDescent="0.2">
      <c r="A166" s="80">
        <v>45954</v>
      </c>
      <c r="B166" s="81">
        <v>262.82</v>
      </c>
      <c r="C166" s="81">
        <v>186.26</v>
      </c>
      <c r="D166" s="81">
        <v>260.51</v>
      </c>
      <c r="E166" s="81">
        <v>523.61</v>
      </c>
      <c r="F166" s="81">
        <v>738.36</v>
      </c>
      <c r="G166" s="81">
        <v>283.33</v>
      </c>
      <c r="H166" s="81">
        <v>485.41</v>
      </c>
      <c r="I166" s="81">
        <v>178.65</v>
      </c>
      <c r="J166" s="81">
        <v>605.58000000000004</v>
      </c>
      <c r="K166" s="81">
        <v>350.77</v>
      </c>
      <c r="L166" s="81">
        <v>293.2</v>
      </c>
      <c r="M166" s="81">
        <v>81.22</v>
      </c>
    </row>
    <row r="167" spans="1:13" x14ac:dyDescent="0.2">
      <c r="A167" s="80">
        <v>45957</v>
      </c>
      <c r="B167" s="81">
        <v>268.81</v>
      </c>
      <c r="C167" s="81">
        <v>191.49</v>
      </c>
      <c r="D167" s="81">
        <v>269.93</v>
      </c>
      <c r="E167" s="81">
        <v>531.52</v>
      </c>
      <c r="F167" s="81">
        <v>750.82</v>
      </c>
      <c r="G167" s="81">
        <v>281.39999999999998</v>
      </c>
      <c r="H167" s="81">
        <v>486.91</v>
      </c>
      <c r="I167" s="81">
        <v>179.24</v>
      </c>
      <c r="J167" s="81">
        <v>595.95000000000005</v>
      </c>
      <c r="K167" s="81">
        <v>353.77</v>
      </c>
      <c r="L167" s="81">
        <v>291.14</v>
      </c>
      <c r="M167" s="81">
        <v>80.47</v>
      </c>
    </row>
    <row r="168" spans="1:13" x14ac:dyDescent="0.2">
      <c r="A168" s="80">
        <v>45958</v>
      </c>
      <c r="B168" s="81">
        <v>269</v>
      </c>
      <c r="C168" s="81">
        <v>201.03</v>
      </c>
      <c r="D168" s="81">
        <v>268.43</v>
      </c>
      <c r="E168" s="81">
        <v>542.07000000000005</v>
      </c>
      <c r="F168" s="81">
        <v>751.44</v>
      </c>
      <c r="G168" s="81">
        <v>280.83</v>
      </c>
      <c r="H168" s="81">
        <v>485.77</v>
      </c>
      <c r="I168" s="81">
        <v>178.67</v>
      </c>
      <c r="J168" s="81">
        <v>595.04999999999995</v>
      </c>
      <c r="K168" s="81">
        <v>346.68</v>
      </c>
      <c r="L168" s="81">
        <v>287.38</v>
      </c>
      <c r="M168" s="81">
        <v>79.95</v>
      </c>
    </row>
    <row r="169" spans="1:13" x14ac:dyDescent="0.2">
      <c r="A169" s="80">
        <v>45959</v>
      </c>
      <c r="B169" s="81">
        <v>269.7</v>
      </c>
      <c r="C169" s="81">
        <v>207.04</v>
      </c>
      <c r="D169" s="81">
        <v>275.17</v>
      </c>
      <c r="E169" s="81">
        <v>541.54999999999995</v>
      </c>
      <c r="F169" s="81">
        <v>751.67</v>
      </c>
      <c r="G169" s="81">
        <v>275.3</v>
      </c>
      <c r="H169" s="81">
        <v>485.33</v>
      </c>
      <c r="I169" s="81">
        <v>176.36</v>
      </c>
      <c r="J169" s="81">
        <v>584.99</v>
      </c>
      <c r="K169" s="81">
        <v>343.48</v>
      </c>
      <c r="L169" s="81">
        <v>286.87</v>
      </c>
      <c r="M169" s="81">
        <v>79.989999999999995</v>
      </c>
    </row>
    <row r="170" spans="1:13" x14ac:dyDescent="0.2">
      <c r="A170" s="80">
        <v>45960</v>
      </c>
      <c r="B170" s="81">
        <v>271.39999999999998</v>
      </c>
      <c r="C170" s="81">
        <v>202.89</v>
      </c>
      <c r="D170" s="81">
        <v>281.89999999999998</v>
      </c>
      <c r="E170" s="81">
        <v>525.76</v>
      </c>
      <c r="F170" s="81">
        <v>666.47</v>
      </c>
      <c r="G170" s="81">
        <v>256.89</v>
      </c>
      <c r="H170" s="81">
        <v>489.72</v>
      </c>
      <c r="I170" s="81">
        <v>177.42</v>
      </c>
      <c r="J170" s="81">
        <v>578.6</v>
      </c>
      <c r="K170" s="81">
        <v>344.66</v>
      </c>
      <c r="L170" s="81">
        <v>295.89999999999998</v>
      </c>
      <c r="M170" s="81">
        <v>79.42</v>
      </c>
    </row>
    <row r="171" spans="1:13" x14ac:dyDescent="0.2">
      <c r="A171" s="80">
        <v>45961</v>
      </c>
      <c r="B171" s="81">
        <v>270.37</v>
      </c>
      <c r="C171" s="81">
        <v>202.49</v>
      </c>
      <c r="D171" s="81">
        <v>281.82</v>
      </c>
      <c r="E171" s="81">
        <v>517.80999999999995</v>
      </c>
      <c r="F171" s="81">
        <v>648.35</v>
      </c>
      <c r="G171" s="81">
        <v>262.61</v>
      </c>
      <c r="H171" s="81">
        <v>491.88</v>
      </c>
      <c r="I171" s="81">
        <v>178.5</v>
      </c>
      <c r="J171" s="81">
        <v>583.45000000000005</v>
      </c>
      <c r="K171" s="81">
        <v>344.9</v>
      </c>
      <c r="L171" s="81">
        <v>289.10000000000002</v>
      </c>
      <c r="M171" s="81">
        <v>80.81</v>
      </c>
    </row>
    <row r="172" spans="1:13" x14ac:dyDescent="0.2">
      <c r="A172" s="79">
        <v>45964</v>
      </c>
      <c r="B172" s="2">
        <v>269.05</v>
      </c>
      <c r="C172" s="2">
        <v>206.88</v>
      </c>
      <c r="D172" s="2">
        <v>284.12</v>
      </c>
      <c r="E172" s="2">
        <v>517.03</v>
      </c>
      <c r="F172" s="2">
        <v>637.71</v>
      </c>
      <c r="G172" s="2">
        <v>257.85000000000002</v>
      </c>
      <c r="H172" s="2">
        <v>487.94</v>
      </c>
      <c r="I172" s="2">
        <v>177.04</v>
      </c>
      <c r="J172" s="2">
        <v>575.41</v>
      </c>
      <c r="K172" s="2">
        <v>341.87</v>
      </c>
      <c r="L172" s="2">
        <v>288.58999999999997</v>
      </c>
      <c r="M172" s="2">
        <v>79.98</v>
      </c>
    </row>
    <row r="173" spans="1:13" x14ac:dyDescent="0.2">
      <c r="A173" s="80">
        <v>45965</v>
      </c>
      <c r="B173" s="81">
        <v>270.04000000000002</v>
      </c>
      <c r="C173" s="81">
        <v>198.69</v>
      </c>
      <c r="D173" s="81">
        <v>278.06</v>
      </c>
      <c r="E173" s="81">
        <v>514.33000000000004</v>
      </c>
      <c r="F173" s="81">
        <v>627.32000000000005</v>
      </c>
      <c r="G173" s="81">
        <v>248.17</v>
      </c>
      <c r="H173" s="81">
        <v>484.98</v>
      </c>
      <c r="I173" s="81">
        <v>175.61</v>
      </c>
      <c r="J173" s="81">
        <v>577.14</v>
      </c>
      <c r="K173" s="81">
        <v>343.47</v>
      </c>
      <c r="L173" s="81">
        <v>291.12</v>
      </c>
      <c r="M173" s="81">
        <v>79.760000000000005</v>
      </c>
    </row>
    <row r="174" spans="1:13" x14ac:dyDescent="0.2">
      <c r="A174" s="80">
        <v>45966</v>
      </c>
      <c r="B174" s="81">
        <v>270.14</v>
      </c>
      <c r="C174" s="81">
        <v>195.21</v>
      </c>
      <c r="D174" s="81">
        <v>284.75</v>
      </c>
      <c r="E174" s="81">
        <v>507.16</v>
      </c>
      <c r="F174" s="81">
        <v>635.95000000000005</v>
      </c>
      <c r="G174" s="81">
        <v>250.31</v>
      </c>
      <c r="H174" s="81">
        <v>473.14</v>
      </c>
      <c r="I174" s="81">
        <v>174</v>
      </c>
      <c r="J174" s="81">
        <v>570.5</v>
      </c>
      <c r="K174" s="81">
        <v>342.91</v>
      </c>
      <c r="L174" s="81">
        <v>287.10000000000002</v>
      </c>
      <c r="M174" s="81">
        <v>80.27</v>
      </c>
    </row>
    <row r="175" spans="1:13" x14ac:dyDescent="0.2">
      <c r="A175" s="80">
        <v>45967</v>
      </c>
      <c r="B175" s="81">
        <v>269.77</v>
      </c>
      <c r="C175" s="81">
        <v>188.08</v>
      </c>
      <c r="D175" s="81">
        <v>285.33999999999997</v>
      </c>
      <c r="E175" s="81">
        <v>497.1</v>
      </c>
      <c r="F175" s="81">
        <v>618.94000000000005</v>
      </c>
      <c r="G175" s="81">
        <v>243.8</v>
      </c>
      <c r="H175" s="81">
        <v>468.92</v>
      </c>
      <c r="I175" s="81">
        <v>175.1</v>
      </c>
      <c r="J175" s="81">
        <v>571.96</v>
      </c>
      <c r="K175" s="81">
        <v>340.3</v>
      </c>
      <c r="L175" s="81">
        <v>285.02</v>
      </c>
      <c r="M175" s="81">
        <v>80.430000000000007</v>
      </c>
    </row>
    <row r="176" spans="1:13" x14ac:dyDescent="0.2">
      <c r="A176" s="80">
        <v>45968</v>
      </c>
      <c r="B176" s="81">
        <v>268.47000000000003</v>
      </c>
      <c r="C176" s="81">
        <v>188.15</v>
      </c>
      <c r="D176" s="81">
        <v>279.7</v>
      </c>
      <c r="E176" s="81">
        <v>496.82</v>
      </c>
      <c r="F176" s="81">
        <v>621.71</v>
      </c>
      <c r="G176" s="81">
        <v>239.26</v>
      </c>
      <c r="H176" s="81">
        <v>458.35</v>
      </c>
      <c r="I176" s="81">
        <v>176.97</v>
      </c>
      <c r="J176" s="81">
        <v>568.61</v>
      </c>
      <c r="K176" s="81">
        <v>346.34</v>
      </c>
      <c r="L176" s="81">
        <v>290.66000000000003</v>
      </c>
      <c r="M176" s="81">
        <v>82.03</v>
      </c>
    </row>
    <row r="177" spans="1:13" x14ac:dyDescent="0.2">
      <c r="A177" s="80">
        <v>45971</v>
      </c>
      <c r="B177" s="81">
        <v>269.43</v>
      </c>
      <c r="C177" s="81">
        <v>199.05</v>
      </c>
      <c r="D177" s="81">
        <v>290.58999999999997</v>
      </c>
      <c r="E177" s="81">
        <v>506</v>
      </c>
      <c r="F177" s="81">
        <v>631.76</v>
      </c>
      <c r="G177" s="81">
        <v>240.83</v>
      </c>
      <c r="H177" s="81">
        <v>452.1</v>
      </c>
      <c r="I177" s="81">
        <v>179.03</v>
      </c>
      <c r="J177" s="81">
        <v>562.98</v>
      </c>
      <c r="K177" s="81">
        <v>349.49</v>
      </c>
      <c r="L177" s="81">
        <v>297</v>
      </c>
      <c r="M177" s="81">
        <v>82.06</v>
      </c>
    </row>
    <row r="178" spans="1:13" x14ac:dyDescent="0.2">
      <c r="A178" s="80">
        <v>45972</v>
      </c>
      <c r="B178" s="81">
        <v>275.25</v>
      </c>
      <c r="C178" s="81">
        <v>193.16</v>
      </c>
      <c r="D178" s="81">
        <v>291.74</v>
      </c>
      <c r="E178" s="81">
        <v>508.68</v>
      </c>
      <c r="F178" s="81">
        <v>627.08000000000004</v>
      </c>
      <c r="G178" s="81">
        <v>236.15</v>
      </c>
      <c r="H178" s="81">
        <v>457.07</v>
      </c>
      <c r="I178" s="81">
        <v>179.22</v>
      </c>
      <c r="J178" s="81">
        <v>566.74</v>
      </c>
      <c r="K178" s="81">
        <v>352.42</v>
      </c>
      <c r="L178" s="81">
        <v>301.68</v>
      </c>
      <c r="M178" s="81">
        <v>82.45</v>
      </c>
    </row>
    <row r="179" spans="1:13" x14ac:dyDescent="0.2">
      <c r="A179" s="80">
        <v>45973</v>
      </c>
      <c r="B179" s="81">
        <v>273.47000000000003</v>
      </c>
      <c r="C179" s="81">
        <v>193.8</v>
      </c>
      <c r="D179" s="81">
        <v>287.43</v>
      </c>
      <c r="E179" s="81">
        <v>511.14</v>
      </c>
      <c r="F179" s="81">
        <v>609.01</v>
      </c>
      <c r="G179" s="81">
        <v>226.99</v>
      </c>
      <c r="H179" s="81">
        <v>457.04</v>
      </c>
      <c r="I179" s="81">
        <v>177.69</v>
      </c>
      <c r="J179" s="81">
        <v>558.57000000000005</v>
      </c>
      <c r="K179" s="81">
        <v>349.45</v>
      </c>
      <c r="L179" s="81">
        <v>300.24</v>
      </c>
      <c r="M179" s="81">
        <v>82.48</v>
      </c>
    </row>
    <row r="180" spans="1:13" x14ac:dyDescent="0.2">
      <c r="A180" s="80">
        <v>45974</v>
      </c>
      <c r="B180" s="81">
        <v>272.95</v>
      </c>
      <c r="C180" s="81">
        <v>186.86</v>
      </c>
      <c r="D180" s="81">
        <v>279.12</v>
      </c>
      <c r="E180" s="81">
        <v>503.29</v>
      </c>
      <c r="F180" s="81">
        <v>609.89</v>
      </c>
      <c r="G180" s="81">
        <v>217.57</v>
      </c>
      <c r="H180" s="81">
        <v>455.85</v>
      </c>
      <c r="I180" s="81">
        <v>173.96</v>
      </c>
      <c r="J180" s="81">
        <v>558</v>
      </c>
      <c r="K180" s="81">
        <v>344.06</v>
      </c>
      <c r="L180" s="81">
        <v>288.37</v>
      </c>
      <c r="M180" s="81">
        <v>81.45</v>
      </c>
    </row>
    <row r="181" spans="1:13" x14ac:dyDescent="0.2">
      <c r="A181" s="80">
        <v>45975</v>
      </c>
      <c r="B181" s="81">
        <v>272.41000000000003</v>
      </c>
      <c r="C181" s="81">
        <v>190.17</v>
      </c>
      <c r="D181" s="81">
        <v>276.98</v>
      </c>
      <c r="E181" s="81">
        <v>510.18</v>
      </c>
      <c r="F181" s="81">
        <v>609.46</v>
      </c>
      <c r="G181" s="81">
        <v>222.85</v>
      </c>
      <c r="H181" s="81">
        <v>465.77</v>
      </c>
      <c r="I181" s="81">
        <v>175.57</v>
      </c>
      <c r="J181" s="81">
        <v>558</v>
      </c>
      <c r="K181" s="81">
        <v>344.25</v>
      </c>
      <c r="L181" s="81">
        <v>289.39</v>
      </c>
      <c r="M181" s="81">
        <v>80.72</v>
      </c>
    </row>
    <row r="182" spans="1:13" x14ac:dyDescent="0.2">
      <c r="A182" s="80">
        <v>45978</v>
      </c>
      <c r="B182" s="81">
        <v>267.45999999999998</v>
      </c>
      <c r="C182" s="81">
        <v>186.6</v>
      </c>
      <c r="D182" s="81">
        <v>285.60000000000002</v>
      </c>
      <c r="E182" s="81">
        <v>507.49</v>
      </c>
      <c r="F182" s="81">
        <v>602.01</v>
      </c>
      <c r="G182" s="81">
        <v>219.86</v>
      </c>
      <c r="H182" s="81">
        <v>470.78</v>
      </c>
      <c r="I182" s="81">
        <v>175.63</v>
      </c>
      <c r="J182" s="81">
        <v>563.03</v>
      </c>
      <c r="K182" s="81">
        <v>341.78</v>
      </c>
      <c r="L182" s="81">
        <v>287.69</v>
      </c>
      <c r="M182" s="81">
        <v>80.06</v>
      </c>
    </row>
    <row r="183" spans="1:13" x14ac:dyDescent="0.2">
      <c r="A183" s="80">
        <v>45979</v>
      </c>
      <c r="B183" s="81">
        <v>267.44</v>
      </c>
      <c r="C183" s="81">
        <v>181.36</v>
      </c>
      <c r="D183" s="81">
        <v>284.95999999999998</v>
      </c>
      <c r="E183" s="81">
        <v>493.79</v>
      </c>
      <c r="F183" s="81">
        <v>597.69000000000005</v>
      </c>
      <c r="G183" s="81">
        <v>220.49</v>
      </c>
      <c r="H183" s="81">
        <v>474.72</v>
      </c>
      <c r="I183" s="81">
        <v>174.72</v>
      </c>
      <c r="J183" s="81">
        <v>566.76</v>
      </c>
      <c r="K183" s="81">
        <v>341.29</v>
      </c>
      <c r="L183" s="81">
        <v>285.44</v>
      </c>
      <c r="M183" s="81">
        <v>79.849999999999994</v>
      </c>
    </row>
    <row r="184" spans="1:13" x14ac:dyDescent="0.2">
      <c r="A184" s="80">
        <v>45980</v>
      </c>
      <c r="B184" s="81">
        <v>268.56</v>
      </c>
      <c r="C184" s="81">
        <v>186.52</v>
      </c>
      <c r="D184" s="81">
        <v>292.99</v>
      </c>
      <c r="E184" s="81">
        <v>487.12</v>
      </c>
      <c r="F184" s="81">
        <v>590.32000000000005</v>
      </c>
      <c r="G184" s="81">
        <v>225.53</v>
      </c>
      <c r="H184" s="81">
        <v>469.91</v>
      </c>
      <c r="I184" s="81">
        <v>173.77</v>
      </c>
      <c r="J184" s="81">
        <v>565</v>
      </c>
      <c r="K184" s="81">
        <v>343.06</v>
      </c>
      <c r="L184" s="81">
        <v>285.25</v>
      </c>
      <c r="M184" s="81">
        <v>79.78</v>
      </c>
    </row>
    <row r="185" spans="1:13" x14ac:dyDescent="0.2">
      <c r="A185" s="80">
        <v>45981</v>
      </c>
      <c r="B185" s="81">
        <v>266.25</v>
      </c>
      <c r="C185" s="81">
        <v>180.64</v>
      </c>
      <c r="D185" s="81">
        <v>289.98</v>
      </c>
      <c r="E185" s="81">
        <v>478.43</v>
      </c>
      <c r="F185" s="81">
        <v>589.15</v>
      </c>
      <c r="G185" s="81">
        <v>210.69</v>
      </c>
      <c r="H185" s="81">
        <v>468.26</v>
      </c>
      <c r="I185" s="81">
        <v>172.73</v>
      </c>
      <c r="J185" s="81">
        <v>567.35</v>
      </c>
      <c r="K185" s="81">
        <v>339.44</v>
      </c>
      <c r="L185" s="81">
        <v>284.22000000000003</v>
      </c>
      <c r="M185" s="81">
        <v>79.53</v>
      </c>
    </row>
    <row r="186" spans="1:13" x14ac:dyDescent="0.2">
      <c r="A186" s="80">
        <v>45982</v>
      </c>
      <c r="B186" s="81">
        <v>271.49</v>
      </c>
      <c r="C186" s="81">
        <v>178.88</v>
      </c>
      <c r="D186" s="81">
        <v>299.64999999999998</v>
      </c>
      <c r="E186" s="81">
        <v>472.12</v>
      </c>
      <c r="F186" s="81">
        <v>594.25</v>
      </c>
      <c r="G186" s="81">
        <v>198.76</v>
      </c>
      <c r="H186" s="81">
        <v>460.78</v>
      </c>
      <c r="I186" s="81">
        <v>169.68</v>
      </c>
      <c r="J186" s="81">
        <v>566.70000000000005</v>
      </c>
      <c r="K186" s="81">
        <v>340.34</v>
      </c>
      <c r="L186" s="81">
        <v>277.77999999999997</v>
      </c>
      <c r="M186" s="81">
        <v>81.33</v>
      </c>
    </row>
    <row r="187" spans="1:13" x14ac:dyDescent="0.2">
      <c r="A187" s="80">
        <v>45985</v>
      </c>
      <c r="B187" s="81">
        <v>275.92</v>
      </c>
      <c r="C187" s="81">
        <v>182.55</v>
      </c>
      <c r="D187" s="81">
        <v>318.47000000000003</v>
      </c>
      <c r="E187" s="81">
        <v>474</v>
      </c>
      <c r="F187" s="81">
        <v>613.04999999999995</v>
      </c>
      <c r="G187" s="81">
        <v>200.28</v>
      </c>
      <c r="H187" s="81">
        <v>451.06</v>
      </c>
      <c r="I187" s="81">
        <v>173.21</v>
      </c>
      <c r="J187" s="81">
        <v>565.55999999999995</v>
      </c>
      <c r="K187" s="81">
        <v>338.13</v>
      </c>
      <c r="L187" s="81">
        <v>275.39999999999998</v>
      </c>
      <c r="M187" s="81">
        <v>82.39</v>
      </c>
    </row>
    <row r="188" spans="1:13" x14ac:dyDescent="0.2">
      <c r="A188" s="80">
        <v>45986</v>
      </c>
      <c r="B188" s="81">
        <v>276.97000000000003</v>
      </c>
      <c r="C188" s="81">
        <v>177.82</v>
      </c>
      <c r="D188" s="81">
        <v>323.64</v>
      </c>
      <c r="E188" s="81">
        <v>476.99</v>
      </c>
      <c r="F188" s="81">
        <v>636.22</v>
      </c>
      <c r="G188" s="81">
        <v>197.03</v>
      </c>
      <c r="H188" s="81">
        <v>452.41</v>
      </c>
      <c r="I188" s="81">
        <v>172.15</v>
      </c>
      <c r="J188" s="81">
        <v>569.41999999999996</v>
      </c>
      <c r="K188" s="81">
        <v>341.07</v>
      </c>
      <c r="L188" s="81">
        <v>276.33</v>
      </c>
      <c r="M188" s="81">
        <v>82.92</v>
      </c>
    </row>
    <row r="189" spans="1:13" x14ac:dyDescent="0.2">
      <c r="A189" s="80">
        <v>45987</v>
      </c>
      <c r="B189" s="81">
        <v>277.55</v>
      </c>
      <c r="C189" s="81">
        <v>180.26</v>
      </c>
      <c r="D189" s="81">
        <v>320.27999999999997</v>
      </c>
      <c r="E189" s="81">
        <v>485.5</v>
      </c>
      <c r="F189" s="81">
        <v>633.61</v>
      </c>
      <c r="G189" s="81">
        <v>204.96</v>
      </c>
      <c r="H189" s="81">
        <v>454.16</v>
      </c>
      <c r="I189" s="81">
        <v>173.19</v>
      </c>
      <c r="J189" s="81">
        <v>567.11</v>
      </c>
      <c r="K189" s="81">
        <v>340.04</v>
      </c>
      <c r="L189" s="81">
        <v>276.14</v>
      </c>
      <c r="M189" s="81">
        <v>83.04</v>
      </c>
    </row>
    <row r="190" spans="1:13" x14ac:dyDescent="0.2">
      <c r="A190" s="80">
        <v>45989</v>
      </c>
      <c r="B190" s="81">
        <v>278.85000000000002</v>
      </c>
      <c r="C190" s="81">
        <v>177</v>
      </c>
      <c r="D190" s="81">
        <v>320.12</v>
      </c>
      <c r="E190" s="81">
        <v>492.01</v>
      </c>
      <c r="F190" s="81">
        <v>647.95000000000005</v>
      </c>
      <c r="G190" s="81">
        <v>201.95</v>
      </c>
      <c r="H190" s="81">
        <v>457.86</v>
      </c>
      <c r="I190" s="81">
        <v>174.91</v>
      </c>
      <c r="J190" s="81">
        <v>572.25</v>
      </c>
      <c r="K190" s="81">
        <v>341.63</v>
      </c>
      <c r="L190" s="81">
        <v>278.69</v>
      </c>
      <c r="M190" s="81">
        <v>83.16</v>
      </c>
    </row>
    <row r="191" spans="1:13" x14ac:dyDescent="0.2">
      <c r="A191" s="79">
        <v>45992</v>
      </c>
      <c r="B191" s="2">
        <v>283.10000000000002</v>
      </c>
      <c r="C191" s="2">
        <v>179.92</v>
      </c>
      <c r="D191" s="2">
        <v>315.12</v>
      </c>
      <c r="E191" s="2">
        <v>486.74</v>
      </c>
      <c r="F191" s="2">
        <v>640.87</v>
      </c>
      <c r="G191" s="2">
        <v>200.94</v>
      </c>
      <c r="H191" s="2">
        <v>439.19</v>
      </c>
      <c r="I191" s="2">
        <v>168.02</v>
      </c>
      <c r="J191" s="2">
        <v>545.51</v>
      </c>
      <c r="K191" s="2">
        <v>332.38</v>
      </c>
      <c r="L191" s="2">
        <v>272.32</v>
      </c>
      <c r="M191" s="2">
        <v>82</v>
      </c>
    </row>
    <row r="192" spans="1:13" x14ac:dyDescent="0.2">
      <c r="A192" s="80">
        <v>45993</v>
      </c>
      <c r="B192" s="81">
        <v>286.19</v>
      </c>
      <c r="C192" s="81">
        <v>181.46</v>
      </c>
      <c r="D192" s="81">
        <v>316.02</v>
      </c>
      <c r="E192" s="81">
        <v>490</v>
      </c>
      <c r="F192" s="81">
        <v>647.1</v>
      </c>
      <c r="G192" s="81">
        <v>201.1</v>
      </c>
      <c r="H192" s="81">
        <v>441.82</v>
      </c>
      <c r="I192" s="81">
        <v>168.8</v>
      </c>
      <c r="J192" s="81">
        <v>546.97</v>
      </c>
      <c r="K192" s="81">
        <v>335.8</v>
      </c>
      <c r="L192" s="81">
        <v>273.97000000000003</v>
      </c>
      <c r="M192" s="81">
        <v>82.43</v>
      </c>
    </row>
    <row r="193" spans="1:13" x14ac:dyDescent="0.2">
      <c r="A193" s="80">
        <v>45994</v>
      </c>
      <c r="B193" s="81">
        <v>284.14999999999998</v>
      </c>
      <c r="C193" s="81">
        <v>179.59</v>
      </c>
      <c r="D193" s="81">
        <v>320.62</v>
      </c>
      <c r="E193" s="81">
        <v>477.73</v>
      </c>
      <c r="F193" s="81">
        <v>639.6</v>
      </c>
      <c r="G193" s="81">
        <v>207.73</v>
      </c>
      <c r="H193" s="81">
        <v>446.8</v>
      </c>
      <c r="I193" s="81">
        <v>168.45</v>
      </c>
      <c r="J193" s="81">
        <v>553.32000000000005</v>
      </c>
      <c r="K193" s="81">
        <v>338.08</v>
      </c>
      <c r="L193" s="81">
        <v>277.74</v>
      </c>
      <c r="M193" s="81">
        <v>83.7</v>
      </c>
    </row>
    <row r="194" spans="1:13" x14ac:dyDescent="0.2">
      <c r="A194" s="80">
        <v>45995</v>
      </c>
      <c r="B194" s="81">
        <v>280.7</v>
      </c>
      <c r="C194" s="81">
        <v>183.38</v>
      </c>
      <c r="D194" s="81">
        <v>318.39</v>
      </c>
      <c r="E194" s="81">
        <v>480.84</v>
      </c>
      <c r="F194" s="81">
        <v>661.53</v>
      </c>
      <c r="G194" s="81">
        <v>214.33</v>
      </c>
      <c r="H194" s="81">
        <v>448.35</v>
      </c>
      <c r="I194" s="81">
        <v>171.31</v>
      </c>
      <c r="J194" s="81">
        <v>553</v>
      </c>
      <c r="K194" s="81">
        <v>341.7</v>
      </c>
      <c r="L194" s="81">
        <v>280.51</v>
      </c>
      <c r="M194" s="81">
        <v>83.14</v>
      </c>
    </row>
    <row r="195" spans="1:13" x14ac:dyDescent="0.2">
      <c r="A195" s="80">
        <v>45996</v>
      </c>
      <c r="B195" s="81">
        <v>278.77999999999997</v>
      </c>
      <c r="C195" s="81">
        <v>182.41</v>
      </c>
      <c r="D195" s="81">
        <v>322.08999999999997</v>
      </c>
      <c r="E195" s="81">
        <v>483.16</v>
      </c>
      <c r="F195" s="81">
        <v>673.42</v>
      </c>
      <c r="G195" s="81">
        <v>217.58</v>
      </c>
      <c r="H195" s="81">
        <v>452.2</v>
      </c>
      <c r="I195" s="81">
        <v>171.1</v>
      </c>
      <c r="J195" s="81">
        <v>548.97</v>
      </c>
      <c r="K195" s="81">
        <v>337.31</v>
      </c>
      <c r="L195" s="81">
        <v>278.5</v>
      </c>
      <c r="M195" s="81">
        <v>83.47</v>
      </c>
    </row>
    <row r="196" spans="1:13" x14ac:dyDescent="0.2">
      <c r="A196" s="80">
        <v>45999</v>
      </c>
      <c r="B196" s="81">
        <v>277.89</v>
      </c>
      <c r="C196" s="81">
        <v>185.55</v>
      </c>
      <c r="D196" s="81">
        <v>314.45</v>
      </c>
      <c r="E196" s="81">
        <v>491.02</v>
      </c>
      <c r="F196" s="81">
        <v>666.8</v>
      </c>
      <c r="G196" s="81">
        <v>220.54</v>
      </c>
      <c r="H196" s="81">
        <v>465.38</v>
      </c>
      <c r="I196" s="81">
        <v>171.52</v>
      </c>
      <c r="J196" s="81">
        <v>553.55999999999995</v>
      </c>
      <c r="K196" s="81">
        <v>336.01</v>
      </c>
      <c r="L196" s="81">
        <v>281.64999999999998</v>
      </c>
      <c r="M196" s="81">
        <v>84.41</v>
      </c>
    </row>
    <row r="197" spans="1:13" x14ac:dyDescent="0.2">
      <c r="A197" s="80">
        <v>46000</v>
      </c>
      <c r="B197" s="81">
        <v>277.18</v>
      </c>
      <c r="C197" s="81">
        <v>184.97</v>
      </c>
      <c r="D197" s="81">
        <v>317.75</v>
      </c>
      <c r="E197" s="81">
        <v>492.02</v>
      </c>
      <c r="F197" s="81">
        <v>656.96</v>
      </c>
      <c r="G197" s="81">
        <v>221.53</v>
      </c>
      <c r="H197" s="81">
        <v>466.89</v>
      </c>
      <c r="I197" s="81">
        <v>171.93</v>
      </c>
      <c r="J197" s="81">
        <v>550.63</v>
      </c>
      <c r="K197" s="81">
        <v>334.27</v>
      </c>
      <c r="L197" s="81">
        <v>277.37</v>
      </c>
      <c r="M197" s="81">
        <v>83.9</v>
      </c>
    </row>
    <row r="198" spans="1:13" x14ac:dyDescent="0.2">
      <c r="A198" s="80">
        <v>46001</v>
      </c>
      <c r="B198" s="81">
        <v>278.77999999999997</v>
      </c>
      <c r="C198" s="81">
        <v>183.78</v>
      </c>
      <c r="D198" s="81">
        <v>321</v>
      </c>
      <c r="E198" s="81">
        <v>478.56</v>
      </c>
      <c r="F198" s="81">
        <v>650.13</v>
      </c>
      <c r="G198" s="81">
        <v>223.01</v>
      </c>
      <c r="H198" s="81">
        <v>467.94</v>
      </c>
      <c r="I198" s="81">
        <v>174.72</v>
      </c>
      <c r="J198" s="81">
        <v>555.36</v>
      </c>
      <c r="K198" s="81">
        <v>342.23</v>
      </c>
      <c r="L198" s="81">
        <v>285.94</v>
      </c>
      <c r="M198" s="81">
        <v>85.1</v>
      </c>
    </row>
    <row r="199" spans="1:13" x14ac:dyDescent="0.2">
      <c r="A199" s="80">
        <v>46002</v>
      </c>
      <c r="B199" s="81">
        <v>278.02999999999997</v>
      </c>
      <c r="C199" s="81">
        <v>180.93</v>
      </c>
      <c r="D199" s="81">
        <v>313.7</v>
      </c>
      <c r="E199" s="81">
        <v>483.47</v>
      </c>
      <c r="F199" s="81">
        <v>652.71</v>
      </c>
      <c r="G199" s="81">
        <v>198.85</v>
      </c>
      <c r="H199" s="81">
        <v>474.88</v>
      </c>
      <c r="I199" s="81">
        <v>177.42</v>
      </c>
      <c r="J199" s="81">
        <v>560.04</v>
      </c>
      <c r="K199" s="81">
        <v>341.48</v>
      </c>
      <c r="L199" s="81">
        <v>289.86</v>
      </c>
      <c r="M199" s="81">
        <v>86.85</v>
      </c>
    </row>
    <row r="200" spans="1:13" x14ac:dyDescent="0.2">
      <c r="A200" s="80">
        <v>46003</v>
      </c>
      <c r="B200" s="81">
        <v>278.27999999999997</v>
      </c>
      <c r="C200" s="81">
        <v>175.02</v>
      </c>
      <c r="D200" s="81">
        <v>310.52</v>
      </c>
      <c r="E200" s="81">
        <v>478.53</v>
      </c>
      <c r="F200" s="81">
        <v>644.23</v>
      </c>
      <c r="G200" s="81">
        <v>189.97</v>
      </c>
      <c r="H200" s="81">
        <v>480.25</v>
      </c>
      <c r="I200" s="81">
        <v>178.66</v>
      </c>
      <c r="J200" s="81">
        <v>569.76</v>
      </c>
      <c r="K200" s="81">
        <v>337.49</v>
      </c>
      <c r="L200" s="81">
        <v>286.95</v>
      </c>
      <c r="M200" s="81">
        <v>87.17</v>
      </c>
    </row>
    <row r="201" spans="1:13" x14ac:dyDescent="0.2">
      <c r="A201" s="80">
        <v>46006</v>
      </c>
      <c r="B201" s="81">
        <v>274.11</v>
      </c>
      <c r="C201" s="81">
        <v>176.29</v>
      </c>
      <c r="D201" s="81">
        <v>309.32</v>
      </c>
      <c r="E201" s="81">
        <v>474.82</v>
      </c>
      <c r="F201" s="81">
        <v>647.51</v>
      </c>
      <c r="G201" s="81">
        <v>184.92</v>
      </c>
      <c r="H201" s="81">
        <v>484.42</v>
      </c>
      <c r="I201" s="81">
        <v>182.11</v>
      </c>
      <c r="J201" s="81">
        <v>575.79</v>
      </c>
      <c r="K201" s="81">
        <v>340.69</v>
      </c>
      <c r="L201" s="81">
        <v>288.52999999999997</v>
      </c>
      <c r="M201" s="81">
        <v>87.94</v>
      </c>
    </row>
    <row r="202" spans="1:13" x14ac:dyDescent="0.2">
      <c r="A202" s="80">
        <v>46007</v>
      </c>
      <c r="B202" s="81">
        <v>274.61</v>
      </c>
      <c r="C202" s="81">
        <v>177.72</v>
      </c>
      <c r="D202" s="81">
        <v>307.73</v>
      </c>
      <c r="E202" s="81">
        <v>476.39</v>
      </c>
      <c r="F202" s="81">
        <v>657.15</v>
      </c>
      <c r="G202" s="81">
        <v>188.65</v>
      </c>
      <c r="H202" s="81">
        <v>477.06</v>
      </c>
      <c r="I202" s="81">
        <v>179.93</v>
      </c>
      <c r="J202" s="81">
        <v>568.72</v>
      </c>
      <c r="K202" s="81">
        <v>337.49</v>
      </c>
      <c r="L202" s="81">
        <v>282.85000000000002</v>
      </c>
      <c r="M202" s="81">
        <v>86.33</v>
      </c>
    </row>
    <row r="203" spans="1:13" x14ac:dyDescent="0.2">
      <c r="A203" s="80">
        <v>46008</v>
      </c>
      <c r="B203" s="81">
        <v>271.83999999999997</v>
      </c>
      <c r="C203" s="81">
        <v>170.94</v>
      </c>
      <c r="D203" s="81">
        <v>298.06</v>
      </c>
      <c r="E203" s="81">
        <v>476.12</v>
      </c>
      <c r="F203" s="81">
        <v>649.5</v>
      </c>
      <c r="G203" s="81">
        <v>178.46</v>
      </c>
      <c r="H203" s="81">
        <v>474.79</v>
      </c>
      <c r="I203" s="81">
        <v>177.2</v>
      </c>
      <c r="J203" s="81">
        <v>564.19000000000005</v>
      </c>
      <c r="K203" s="81">
        <v>336.41</v>
      </c>
      <c r="L203" s="81">
        <v>278.72000000000003</v>
      </c>
      <c r="M203" s="81">
        <v>87.44</v>
      </c>
    </row>
    <row r="204" spans="1:13" x14ac:dyDescent="0.2">
      <c r="A204" s="80">
        <v>46009</v>
      </c>
      <c r="B204" s="81">
        <v>272.19</v>
      </c>
      <c r="C204" s="81">
        <v>174.14</v>
      </c>
      <c r="D204" s="81">
        <v>303.75</v>
      </c>
      <c r="E204" s="81">
        <v>483.98</v>
      </c>
      <c r="F204" s="81">
        <v>664.45</v>
      </c>
      <c r="G204" s="81">
        <v>180.03</v>
      </c>
      <c r="H204" s="81">
        <v>470.14</v>
      </c>
      <c r="I204" s="81">
        <v>178.29</v>
      </c>
      <c r="J204" s="81">
        <v>559.52</v>
      </c>
      <c r="K204" s="81">
        <v>337.34</v>
      </c>
      <c r="L204" s="81">
        <v>282.72000000000003</v>
      </c>
      <c r="M204" s="81">
        <v>87.96</v>
      </c>
    </row>
    <row r="205" spans="1:13" x14ac:dyDescent="0.2">
      <c r="A205" s="80">
        <v>46010</v>
      </c>
      <c r="B205" s="81">
        <v>273.67</v>
      </c>
      <c r="C205" s="81">
        <v>180.99</v>
      </c>
      <c r="D205" s="81">
        <v>308.61</v>
      </c>
      <c r="E205" s="81">
        <v>485.92</v>
      </c>
      <c r="F205" s="81">
        <v>658.77</v>
      </c>
      <c r="G205" s="81">
        <v>191.97</v>
      </c>
      <c r="H205" s="81">
        <v>474.13</v>
      </c>
      <c r="I205" s="81">
        <v>182.01</v>
      </c>
      <c r="J205" s="81">
        <v>568.46</v>
      </c>
      <c r="K205" s="81">
        <v>339.36</v>
      </c>
      <c r="L205" s="81">
        <v>287.45</v>
      </c>
      <c r="M205" s="81">
        <v>89.46</v>
      </c>
    </row>
    <row r="206" spans="1:13" x14ac:dyDescent="0.2">
      <c r="A206" s="80">
        <v>46013</v>
      </c>
      <c r="B206" s="81">
        <v>270.97000000000003</v>
      </c>
      <c r="C206" s="81">
        <v>183.69</v>
      </c>
      <c r="D206" s="81">
        <v>311.33</v>
      </c>
      <c r="E206" s="81">
        <v>484.92</v>
      </c>
      <c r="F206" s="81">
        <v>661.5</v>
      </c>
      <c r="G206" s="81">
        <v>198.38</v>
      </c>
      <c r="H206" s="81">
        <v>483.57</v>
      </c>
      <c r="I206" s="81">
        <v>185.68</v>
      </c>
      <c r="J206" s="81">
        <v>584.66</v>
      </c>
      <c r="K206" s="81">
        <v>345.19</v>
      </c>
      <c r="L206" s="81">
        <v>295.10000000000002</v>
      </c>
      <c r="M206" s="81">
        <v>90.88</v>
      </c>
    </row>
    <row r="207" spans="1:13" x14ac:dyDescent="0.2">
      <c r="A207" s="80">
        <v>46014</v>
      </c>
      <c r="B207" s="81">
        <v>272.36</v>
      </c>
      <c r="C207" s="81">
        <v>189.21</v>
      </c>
      <c r="D207" s="81">
        <v>315.68</v>
      </c>
      <c r="E207" s="81">
        <v>486.85</v>
      </c>
      <c r="F207" s="81">
        <v>664.94</v>
      </c>
      <c r="G207" s="81">
        <v>195.34</v>
      </c>
      <c r="H207" s="81">
        <v>482.55</v>
      </c>
      <c r="I207" s="81">
        <v>185.76</v>
      </c>
      <c r="J207" s="81">
        <v>580.05999999999995</v>
      </c>
      <c r="K207" s="81">
        <v>343.84</v>
      </c>
      <c r="L207" s="81">
        <v>297.83</v>
      </c>
      <c r="M207" s="81">
        <v>90.5</v>
      </c>
    </row>
    <row r="208" spans="1:13" x14ac:dyDescent="0.2">
      <c r="A208" s="80">
        <v>46015</v>
      </c>
      <c r="B208" s="81">
        <v>273.81</v>
      </c>
      <c r="C208" s="81">
        <v>188.61</v>
      </c>
      <c r="D208" s="81">
        <v>315.67</v>
      </c>
      <c r="E208" s="81">
        <v>488.02</v>
      </c>
      <c r="F208" s="81">
        <v>667.55</v>
      </c>
      <c r="G208" s="81">
        <v>197.49</v>
      </c>
      <c r="H208" s="81">
        <v>485.75</v>
      </c>
      <c r="I208" s="81">
        <v>186.38</v>
      </c>
      <c r="J208" s="81">
        <v>582.35</v>
      </c>
      <c r="K208" s="81">
        <v>345.39</v>
      </c>
      <c r="L208" s="81">
        <v>298.14</v>
      </c>
      <c r="M208" s="81">
        <v>90.87</v>
      </c>
    </row>
    <row r="209" spans="1:13" x14ac:dyDescent="0.2">
      <c r="A209" s="80">
        <v>46017</v>
      </c>
      <c r="B209" s="81">
        <v>273.39999999999998</v>
      </c>
      <c r="C209" s="81">
        <v>190.53</v>
      </c>
      <c r="D209" s="81">
        <v>314.95999999999998</v>
      </c>
      <c r="E209" s="81">
        <v>487.71</v>
      </c>
      <c r="F209" s="81">
        <v>663.29</v>
      </c>
      <c r="G209" s="81">
        <v>197.99</v>
      </c>
      <c r="H209" s="81">
        <v>483.03</v>
      </c>
      <c r="I209" s="81">
        <v>185.17</v>
      </c>
      <c r="J209" s="81">
        <v>577.37</v>
      </c>
      <c r="K209" s="81">
        <v>342.2</v>
      </c>
      <c r="L209" s="81">
        <v>296.77</v>
      </c>
      <c r="M209" s="81">
        <v>90.22</v>
      </c>
    </row>
    <row r="210" spans="1:13" x14ac:dyDescent="0.2">
      <c r="A210" s="80">
        <v>46020</v>
      </c>
      <c r="B210" s="81">
        <v>273.76</v>
      </c>
      <c r="C210" s="81">
        <v>188.22</v>
      </c>
      <c r="D210" s="81">
        <v>314.39</v>
      </c>
      <c r="E210" s="81">
        <v>487.1</v>
      </c>
      <c r="F210" s="81">
        <v>658.69</v>
      </c>
      <c r="G210" s="81">
        <v>195.38</v>
      </c>
      <c r="H210" s="81">
        <v>488.87</v>
      </c>
      <c r="I210" s="81">
        <v>184.42</v>
      </c>
      <c r="J210" s="81">
        <v>577.78</v>
      </c>
      <c r="K210" s="81">
        <v>340.48</v>
      </c>
      <c r="L210" s="81">
        <v>295.93</v>
      </c>
      <c r="M210" s="81">
        <v>88.74</v>
      </c>
    </row>
    <row r="211" spans="1:13" x14ac:dyDescent="0.2">
      <c r="A211" s="80">
        <v>46021</v>
      </c>
      <c r="B211" s="81">
        <v>273.08</v>
      </c>
      <c r="C211" s="81">
        <v>187.54</v>
      </c>
      <c r="D211" s="81">
        <v>314.55</v>
      </c>
      <c r="E211" s="81">
        <v>487.48</v>
      </c>
      <c r="F211" s="81">
        <v>665.95</v>
      </c>
      <c r="G211" s="81">
        <v>197.21</v>
      </c>
      <c r="H211" s="81">
        <v>488</v>
      </c>
      <c r="I211" s="81">
        <v>184.01</v>
      </c>
      <c r="J211" s="81">
        <v>574.57000000000005</v>
      </c>
      <c r="K211" s="81">
        <v>339.47</v>
      </c>
      <c r="L211" s="81">
        <v>295.47000000000003</v>
      </c>
      <c r="M211" s="81">
        <v>88.34</v>
      </c>
    </row>
    <row r="212" spans="1:13" x14ac:dyDescent="0.2">
      <c r="A212" s="80">
        <v>46022</v>
      </c>
      <c r="B212" s="81">
        <v>271.86</v>
      </c>
      <c r="C212" s="81">
        <v>186.5</v>
      </c>
      <c r="D212" s="81">
        <v>313.8</v>
      </c>
      <c r="E212" s="81">
        <v>483.62</v>
      </c>
      <c r="F212" s="81">
        <v>660.09</v>
      </c>
      <c r="G212" s="81">
        <v>194.91</v>
      </c>
      <c r="H212" s="81">
        <v>483.67</v>
      </c>
      <c r="I212" s="81">
        <v>183.4</v>
      </c>
      <c r="J212" s="81">
        <v>570.21</v>
      </c>
      <c r="K212" s="81">
        <v>336.66</v>
      </c>
      <c r="L212" s="81">
        <v>293.57</v>
      </c>
      <c r="M212" s="81">
        <v>87.17</v>
      </c>
    </row>
    <row r="213" spans="1:13" x14ac:dyDescent="0.2">
      <c r="A213" s="79">
        <v>46024</v>
      </c>
      <c r="B213" s="2">
        <v>271.01</v>
      </c>
      <c r="C213" s="2">
        <v>188.85</v>
      </c>
      <c r="D213" s="2">
        <v>315.32</v>
      </c>
      <c r="E213" s="2">
        <v>472.94</v>
      </c>
      <c r="F213" s="2">
        <v>650.41</v>
      </c>
      <c r="G213" s="2">
        <v>195.71</v>
      </c>
      <c r="H213" s="2">
        <v>497.07</v>
      </c>
      <c r="I213" s="2">
        <v>187.25</v>
      </c>
      <c r="J213" s="2">
        <v>585.66</v>
      </c>
      <c r="K213" s="2">
        <v>343.4</v>
      </c>
      <c r="L213" s="2">
        <v>304.48</v>
      </c>
      <c r="M213" s="2">
        <v>87.05</v>
      </c>
    </row>
    <row r="214" spans="1:13" x14ac:dyDescent="0.2">
      <c r="A214" s="80">
        <v>46027</v>
      </c>
      <c r="B214" s="81">
        <v>267.26</v>
      </c>
      <c r="C214" s="81">
        <v>188.12</v>
      </c>
      <c r="D214" s="81">
        <v>317.32</v>
      </c>
      <c r="E214" s="81">
        <v>472.85</v>
      </c>
      <c r="F214" s="81">
        <v>658.79</v>
      </c>
      <c r="G214" s="81">
        <v>192.59</v>
      </c>
      <c r="H214" s="81">
        <v>511.57</v>
      </c>
      <c r="I214" s="81">
        <v>188.26</v>
      </c>
      <c r="J214" s="81">
        <v>611.32000000000005</v>
      </c>
      <c r="K214" s="81">
        <v>355.56</v>
      </c>
      <c r="L214" s="81">
        <v>311.38</v>
      </c>
      <c r="M214" s="81">
        <v>89</v>
      </c>
    </row>
    <row r="215" spans="1:13" x14ac:dyDescent="0.2">
      <c r="A215" s="80">
        <v>46028</v>
      </c>
      <c r="B215" s="81">
        <v>262.36</v>
      </c>
      <c r="C215" s="81">
        <v>187.24</v>
      </c>
      <c r="D215" s="81">
        <v>314.55</v>
      </c>
      <c r="E215" s="81">
        <v>478.51</v>
      </c>
      <c r="F215" s="81">
        <v>660.62</v>
      </c>
      <c r="G215" s="81">
        <v>193.75</v>
      </c>
      <c r="H215" s="81">
        <v>522.04</v>
      </c>
      <c r="I215" s="81">
        <v>190.4</v>
      </c>
      <c r="J215" s="81">
        <v>610.61</v>
      </c>
      <c r="K215" s="81">
        <v>360.71</v>
      </c>
      <c r="L215" s="81">
        <v>314.47000000000003</v>
      </c>
      <c r="M215" s="81">
        <v>90.07</v>
      </c>
    </row>
    <row r="216" spans="1:13" x14ac:dyDescent="0.2">
      <c r="A216" s="80">
        <v>46029</v>
      </c>
      <c r="B216" s="81">
        <v>260.33</v>
      </c>
      <c r="C216" s="81">
        <v>189.11</v>
      </c>
      <c r="D216" s="81">
        <v>322.43</v>
      </c>
      <c r="E216" s="81">
        <v>483.47</v>
      </c>
      <c r="F216" s="81">
        <v>648.69000000000005</v>
      </c>
      <c r="G216" s="81">
        <v>192.84</v>
      </c>
      <c r="H216" s="81">
        <v>496.87</v>
      </c>
      <c r="I216" s="81">
        <v>185.73</v>
      </c>
      <c r="J216" s="81">
        <v>577.01</v>
      </c>
      <c r="K216" s="81">
        <v>345.64</v>
      </c>
      <c r="L216" s="81">
        <v>309.76</v>
      </c>
      <c r="M216" s="81">
        <v>88.58</v>
      </c>
    </row>
    <row r="217" spans="1:13" x14ac:dyDescent="0.2">
      <c r="A217" s="80">
        <v>46030</v>
      </c>
      <c r="B217" s="81">
        <v>259.04000000000002</v>
      </c>
      <c r="C217" s="81">
        <v>185.04</v>
      </c>
      <c r="D217" s="81">
        <v>326.01</v>
      </c>
      <c r="E217" s="81">
        <v>478.11</v>
      </c>
      <c r="F217" s="81">
        <v>646.05999999999995</v>
      </c>
      <c r="G217" s="81">
        <v>189.65</v>
      </c>
      <c r="H217" s="81">
        <v>518.44000000000005</v>
      </c>
      <c r="I217" s="81">
        <v>187.17</v>
      </c>
      <c r="J217" s="81">
        <v>590.79</v>
      </c>
      <c r="K217" s="81">
        <v>351.44</v>
      </c>
      <c r="L217" s="81">
        <v>325.74</v>
      </c>
      <c r="M217" s="81">
        <v>91.71</v>
      </c>
    </row>
    <row r="218" spans="1:13" x14ac:dyDescent="0.2">
      <c r="A218" s="80">
        <v>46031</v>
      </c>
      <c r="B218" s="81">
        <v>259.37</v>
      </c>
      <c r="C218" s="81">
        <v>184.86</v>
      </c>
      <c r="D218" s="81">
        <v>329.14</v>
      </c>
      <c r="E218" s="81">
        <v>479.28</v>
      </c>
      <c r="F218" s="81">
        <v>653.05999999999995</v>
      </c>
      <c r="G218" s="81">
        <v>198.52</v>
      </c>
      <c r="H218" s="81">
        <v>542.91999999999996</v>
      </c>
      <c r="I218" s="81">
        <v>188.5</v>
      </c>
      <c r="J218" s="81">
        <v>618.82000000000005</v>
      </c>
      <c r="K218" s="81">
        <v>353.89</v>
      </c>
      <c r="L218" s="81">
        <v>335.77</v>
      </c>
      <c r="M218" s="81">
        <v>93.83</v>
      </c>
    </row>
    <row r="219" spans="1:13" x14ac:dyDescent="0.2">
      <c r="A219" s="80">
        <v>46034</v>
      </c>
      <c r="B219" s="81">
        <v>260.25</v>
      </c>
      <c r="C219" s="81">
        <v>184.94</v>
      </c>
      <c r="D219" s="81">
        <v>332.73</v>
      </c>
      <c r="E219" s="81">
        <v>477.18</v>
      </c>
      <c r="F219" s="81">
        <v>641.97</v>
      </c>
      <c r="G219" s="81">
        <v>204.68</v>
      </c>
      <c r="H219" s="81">
        <v>551.24</v>
      </c>
      <c r="I219" s="81">
        <v>193.85</v>
      </c>
      <c r="J219" s="81">
        <v>629.32000000000005</v>
      </c>
      <c r="K219" s="81">
        <v>360.94</v>
      </c>
      <c r="L219" s="81">
        <v>340.68</v>
      </c>
      <c r="M219" s="81">
        <v>93.28</v>
      </c>
    </row>
    <row r="220" spans="1:13" x14ac:dyDescent="0.2">
      <c r="A220" s="80">
        <v>46035</v>
      </c>
      <c r="B220" s="81">
        <v>261.05</v>
      </c>
      <c r="C220" s="81">
        <v>185.81</v>
      </c>
      <c r="D220" s="81">
        <v>336.43</v>
      </c>
      <c r="E220" s="81">
        <v>470.67</v>
      </c>
      <c r="F220" s="81">
        <v>631.09</v>
      </c>
      <c r="G220" s="81">
        <v>202.29</v>
      </c>
      <c r="H220" s="81">
        <v>558.29999999999995</v>
      </c>
      <c r="I220" s="81">
        <v>194.08</v>
      </c>
      <c r="J220" s="81">
        <v>625.5</v>
      </c>
      <c r="K220" s="81">
        <v>363.3</v>
      </c>
      <c r="L220" s="81">
        <v>341.24</v>
      </c>
      <c r="M220" s="81">
        <v>93.5</v>
      </c>
    </row>
    <row r="221" spans="1:13" x14ac:dyDescent="0.2">
      <c r="A221" s="80">
        <v>46036</v>
      </c>
      <c r="B221" s="81">
        <v>259.95999999999998</v>
      </c>
      <c r="C221" s="81">
        <v>183.14</v>
      </c>
      <c r="D221" s="81">
        <v>336.31</v>
      </c>
      <c r="E221" s="81">
        <v>459.38</v>
      </c>
      <c r="F221" s="81">
        <v>615.52</v>
      </c>
      <c r="G221" s="81">
        <v>193.61</v>
      </c>
      <c r="H221" s="81">
        <v>572.70000000000005</v>
      </c>
      <c r="I221" s="81">
        <v>198.84</v>
      </c>
      <c r="J221" s="81">
        <v>653.14</v>
      </c>
      <c r="K221" s="81">
        <v>366</v>
      </c>
      <c r="L221" s="81">
        <v>342.85</v>
      </c>
      <c r="M221" s="81">
        <v>94.17</v>
      </c>
    </row>
    <row r="222" spans="1:13" x14ac:dyDescent="0.2">
      <c r="A222" s="80">
        <v>46037</v>
      </c>
      <c r="B222" s="81">
        <v>258.20999999999998</v>
      </c>
      <c r="C222" s="81">
        <v>187.05</v>
      </c>
      <c r="D222" s="81">
        <v>333.16</v>
      </c>
      <c r="E222" s="81">
        <v>456.66</v>
      </c>
      <c r="F222" s="81">
        <v>620.79999999999995</v>
      </c>
      <c r="G222" s="81">
        <v>189.85</v>
      </c>
      <c r="H222" s="81">
        <v>577.89</v>
      </c>
      <c r="I222" s="81">
        <v>199.83</v>
      </c>
      <c r="J222" s="81">
        <v>654.61</v>
      </c>
      <c r="K222" s="81">
        <v>368.69</v>
      </c>
      <c r="L222" s="81">
        <v>340.42</v>
      </c>
      <c r="M222" s="81">
        <v>93.56</v>
      </c>
    </row>
    <row r="223" spans="1:13" x14ac:dyDescent="0.2">
      <c r="A223" s="80">
        <v>46038</v>
      </c>
      <c r="B223" s="81">
        <v>255.53</v>
      </c>
      <c r="C223" s="81">
        <v>186.23</v>
      </c>
      <c r="D223" s="81">
        <v>330.34</v>
      </c>
      <c r="E223" s="81">
        <v>459.86</v>
      </c>
      <c r="F223" s="81">
        <v>620.25</v>
      </c>
      <c r="G223" s="81">
        <v>191.09</v>
      </c>
      <c r="H223" s="81">
        <v>582.42999999999995</v>
      </c>
      <c r="I223" s="81">
        <v>201.92</v>
      </c>
      <c r="J223" s="81">
        <v>666.9</v>
      </c>
      <c r="K223" s="81">
        <v>367.38</v>
      </c>
      <c r="L223" s="81">
        <v>346.46</v>
      </c>
      <c r="M223" s="81">
        <v>94.23</v>
      </c>
    </row>
    <row r="224" spans="1:13" x14ac:dyDescent="0.2">
      <c r="A224" s="80">
        <v>46042</v>
      </c>
      <c r="B224" s="81">
        <v>246.7</v>
      </c>
      <c r="C224" s="81">
        <v>178.07</v>
      </c>
      <c r="D224" s="81">
        <v>322.16000000000003</v>
      </c>
      <c r="E224" s="81">
        <v>454.52</v>
      </c>
      <c r="F224" s="81">
        <v>604.12</v>
      </c>
      <c r="G224" s="81">
        <v>179.92</v>
      </c>
      <c r="H224" s="81">
        <v>576.05999999999995</v>
      </c>
      <c r="I224" s="81">
        <v>196.36</v>
      </c>
      <c r="J224" s="81">
        <v>657.3</v>
      </c>
      <c r="K224" s="81">
        <v>359.17</v>
      </c>
      <c r="L224" s="81">
        <v>342.33</v>
      </c>
      <c r="M224" s="81">
        <v>93.16</v>
      </c>
    </row>
    <row r="225" spans="1:13" x14ac:dyDescent="0.2">
      <c r="A225" s="80">
        <v>46043</v>
      </c>
      <c r="B225" s="81">
        <v>247.65</v>
      </c>
      <c r="C225" s="81">
        <v>183.32</v>
      </c>
      <c r="D225" s="81">
        <v>328.38</v>
      </c>
      <c r="E225" s="81">
        <v>444.11</v>
      </c>
      <c r="F225" s="81">
        <v>612.96</v>
      </c>
      <c r="G225" s="81">
        <v>173.88</v>
      </c>
      <c r="H225" s="81">
        <v>586.23</v>
      </c>
      <c r="I225" s="81">
        <v>197.5</v>
      </c>
      <c r="J225" s="81">
        <v>664.16</v>
      </c>
      <c r="K225" s="81">
        <v>364.78</v>
      </c>
      <c r="L225" s="81">
        <v>347.81</v>
      </c>
      <c r="M225" s="81">
        <v>96.32</v>
      </c>
    </row>
    <row r="226" spans="1:13" x14ac:dyDescent="0.2">
      <c r="A226" s="80">
        <v>46044</v>
      </c>
      <c r="B226" s="81">
        <v>248.35</v>
      </c>
      <c r="C226" s="81">
        <v>184.84</v>
      </c>
      <c r="D226" s="81">
        <v>330.84</v>
      </c>
      <c r="E226" s="81">
        <v>451.14</v>
      </c>
      <c r="F226" s="81">
        <v>647.63</v>
      </c>
      <c r="G226" s="81">
        <v>178.18</v>
      </c>
      <c r="H226" s="81">
        <v>593.91</v>
      </c>
      <c r="I226" s="81">
        <v>196.34</v>
      </c>
      <c r="J226" s="81">
        <v>670.44</v>
      </c>
      <c r="K226" s="81">
        <v>365.83</v>
      </c>
      <c r="L226" s="81">
        <v>355.75</v>
      </c>
      <c r="M226" s="81">
        <v>96.03</v>
      </c>
    </row>
    <row r="227" spans="1:13" x14ac:dyDescent="0.2">
      <c r="A227" s="80">
        <v>46045</v>
      </c>
      <c r="B227" s="81">
        <v>248.04</v>
      </c>
      <c r="C227" s="81">
        <v>187.67</v>
      </c>
      <c r="D227" s="81">
        <v>328.43</v>
      </c>
      <c r="E227" s="81">
        <v>465.95</v>
      </c>
      <c r="F227" s="81">
        <v>658.76</v>
      </c>
      <c r="G227" s="81">
        <v>177.16</v>
      </c>
      <c r="H227" s="81">
        <v>590.82000000000005</v>
      </c>
      <c r="I227" s="81">
        <v>195.93</v>
      </c>
      <c r="J227" s="81">
        <v>672.95</v>
      </c>
      <c r="K227" s="81">
        <v>363.27</v>
      </c>
      <c r="L227" s="81">
        <v>354.73</v>
      </c>
      <c r="M227" s="81">
        <v>95</v>
      </c>
    </row>
    <row r="228" spans="1:13" x14ac:dyDescent="0.2">
      <c r="A228" s="80">
        <v>46048</v>
      </c>
      <c r="B228" s="81">
        <v>255.41</v>
      </c>
      <c r="C228" s="81">
        <v>186.47</v>
      </c>
      <c r="D228" s="81">
        <v>333.59</v>
      </c>
      <c r="E228" s="81">
        <v>470.28</v>
      </c>
      <c r="F228" s="81">
        <v>672.36</v>
      </c>
      <c r="G228" s="81">
        <v>182.44</v>
      </c>
      <c r="H228" s="81">
        <v>581.66</v>
      </c>
      <c r="I228" s="81">
        <v>194.13</v>
      </c>
      <c r="J228" s="81">
        <v>660.97</v>
      </c>
      <c r="K228" s="81">
        <v>363.54</v>
      </c>
      <c r="L228" s="81">
        <v>354.2</v>
      </c>
      <c r="M228" s="81">
        <v>94.64</v>
      </c>
    </row>
    <row r="229" spans="1:13" x14ac:dyDescent="0.2">
      <c r="A229" s="80">
        <v>46049</v>
      </c>
      <c r="B229" s="81">
        <v>258.27</v>
      </c>
      <c r="C229" s="81">
        <v>188.52</v>
      </c>
      <c r="D229" s="81">
        <v>335</v>
      </c>
      <c r="E229" s="81">
        <v>480.58</v>
      </c>
      <c r="F229" s="81">
        <v>672.97</v>
      </c>
      <c r="G229" s="81">
        <v>174.9</v>
      </c>
      <c r="H229" s="81">
        <v>594.95000000000005</v>
      </c>
      <c r="I229" s="81">
        <v>201.28</v>
      </c>
      <c r="J229" s="81">
        <v>678.74</v>
      </c>
      <c r="K229" s="81">
        <v>366.62</v>
      </c>
      <c r="L229" s="81">
        <v>360.54</v>
      </c>
      <c r="M229" s="81">
        <v>94.23</v>
      </c>
    </row>
    <row r="230" spans="1:13" x14ac:dyDescent="0.2">
      <c r="A230" s="80">
        <v>46050</v>
      </c>
      <c r="B230" s="81">
        <v>256.44</v>
      </c>
      <c r="C230" s="81">
        <v>191.52</v>
      </c>
      <c r="D230" s="81">
        <v>336.28</v>
      </c>
      <c r="E230" s="81">
        <v>481.63</v>
      </c>
      <c r="F230" s="81">
        <v>668.73</v>
      </c>
      <c r="G230" s="81">
        <v>172.8</v>
      </c>
      <c r="H230" s="81">
        <v>597.27</v>
      </c>
      <c r="I230" s="81">
        <v>199.46</v>
      </c>
      <c r="J230" s="81">
        <v>689.13</v>
      </c>
      <c r="K230" s="81">
        <v>356.68</v>
      </c>
      <c r="L230" s="81">
        <v>360.3</v>
      </c>
      <c r="M230" s="81">
        <v>86.79</v>
      </c>
    </row>
    <row r="231" spans="1:13" x14ac:dyDescent="0.2">
      <c r="A231" s="80">
        <v>46051</v>
      </c>
      <c r="B231" s="81">
        <v>258.27999999999997</v>
      </c>
      <c r="C231" s="81">
        <v>192.51</v>
      </c>
      <c r="D231" s="81">
        <v>338.66</v>
      </c>
      <c r="E231" s="81">
        <v>433.5</v>
      </c>
      <c r="F231" s="81">
        <v>738.31</v>
      </c>
      <c r="G231" s="81">
        <v>169.01</v>
      </c>
      <c r="H231" s="81">
        <v>622.51</v>
      </c>
      <c r="I231" s="81">
        <v>199.88</v>
      </c>
      <c r="J231" s="81">
        <v>695.35</v>
      </c>
      <c r="K231" s="81">
        <v>349.95</v>
      </c>
      <c r="L231" s="81">
        <v>356.02</v>
      </c>
      <c r="M231" s="81">
        <v>87.82</v>
      </c>
    </row>
    <row r="232" spans="1:13" x14ac:dyDescent="0.2">
      <c r="A232" s="80">
        <v>46052</v>
      </c>
      <c r="B232" s="81">
        <v>259.48</v>
      </c>
      <c r="C232" s="81">
        <v>191.13</v>
      </c>
      <c r="D232" s="81">
        <v>338.53</v>
      </c>
      <c r="E232" s="81">
        <v>430.29</v>
      </c>
      <c r="F232" s="81">
        <v>716.5</v>
      </c>
      <c r="G232" s="81">
        <v>164.58</v>
      </c>
      <c r="H232" s="81">
        <v>634.22</v>
      </c>
      <c r="I232" s="81">
        <v>200.93</v>
      </c>
      <c r="J232" s="81">
        <v>692.26</v>
      </c>
      <c r="K232" s="81">
        <v>351.09</v>
      </c>
      <c r="L232" s="81">
        <v>342.85</v>
      </c>
      <c r="M232" s="81">
        <v>88.06</v>
      </c>
    </row>
    <row r="233" spans="1:13" x14ac:dyDescent="0.2">
      <c r="A233" s="79">
        <v>46055</v>
      </c>
      <c r="B233" s="2">
        <v>270.01</v>
      </c>
      <c r="C233" s="2">
        <v>185.61</v>
      </c>
      <c r="D233" s="2">
        <v>344.9</v>
      </c>
      <c r="E233" s="2">
        <v>423.37</v>
      </c>
      <c r="F233" s="2">
        <v>706.41</v>
      </c>
      <c r="G233" s="2">
        <v>160.06</v>
      </c>
      <c r="H233" s="2">
        <v>636</v>
      </c>
      <c r="I233" s="2">
        <v>201.09</v>
      </c>
      <c r="J233" s="2">
        <v>685.02</v>
      </c>
      <c r="K233" s="2">
        <v>346.37</v>
      </c>
      <c r="L233" s="2">
        <v>340.24</v>
      </c>
      <c r="M233" s="2">
        <v>87.56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 and Calculations</vt:lpstr>
      <vt:lpstr>Tables and plot </vt:lpstr>
      <vt:lpstr>Initial table with stocks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 Emiliyanov Shopov</dc:creator>
  <cp:lastModifiedBy>Teodor Emiliyanov Shopov</cp:lastModifiedBy>
  <dcterms:created xsi:type="dcterms:W3CDTF">2026-03-19T16:09:41Z</dcterms:created>
  <dcterms:modified xsi:type="dcterms:W3CDTF">2026-03-25T09:23:47Z</dcterms:modified>
</cp:coreProperties>
</file>